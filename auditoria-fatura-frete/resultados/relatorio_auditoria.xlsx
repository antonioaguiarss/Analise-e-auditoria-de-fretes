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Detalhe" sheetId="2" state="visible" r:id="rId4"/>
    <sheet name="Duplicidades" sheetId="3" state="visible" r:id="rId5"/>
  </sheets>
  <definedNames>
    <definedName function="false" hidden="true" localSheetId="1" name="_xlnm._FilterDatabase" vbProcedure="false">Detalhe!$A$1:$P$621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<sst xmlns="http://schemas.openxmlformats.org/spreadsheetml/2006/main" count="3798" uniqueCount="1305">
  <si>
    <t xml:space="preserve">Auditoria de fatura de frete - Resumo</t>
  </si>
  <si>
    <t xml:space="preserve">Base 100% fictícia (jan-set/2026). Mesma regra do SQL, escrita em fórmulas.</t>
  </si>
  <si>
    <t xml:space="preserve">Tolerância de arredondamento (R$)</t>
  </si>
  <si>
    <t xml:space="preserve">&lt;- célula editável: diferenças até esse valor contam como OK</t>
  </si>
  <si>
    <t xml:space="preserve">Indicador</t>
  </si>
  <si>
    <t xml:space="preserve">Valor</t>
  </si>
  <si>
    <t xml:space="preserve">Faturas analisadas</t>
  </si>
  <si>
    <t xml:space="preserve">Faturas acima da tabela</t>
  </si>
  <si>
    <t xml:space="preserve">Valor cobrado a mais (R$)</t>
  </si>
  <si>
    <t xml:space="preserve">Excesso sobre o valor de tabela (%)</t>
  </si>
  <si>
    <t xml:space="preserve">Fretes em rota sem tarifa no contrato</t>
  </si>
  <si>
    <t xml:space="preserve">Valor desses fretes sem tarifa (R$)</t>
  </si>
  <si>
    <t xml:space="preserve">Cobranças em duplicidade (R$ a mais)</t>
  </si>
  <si>
    <t xml:space="preserve">Potencial a recuperar (R$)</t>
  </si>
  <si>
    <t xml:space="preserve">Potencial a recuperar = excesso acima da tabela + duplicidades. Nesta base as duplicadas estão dentro da tabela, então não há dupla contagem.</t>
  </si>
  <si>
    <t xml:space="preserve">Por transportadora</t>
  </si>
  <si>
    <t xml:space="preserve">Transportadora</t>
  </si>
  <si>
    <t xml:space="preserve">Faturas</t>
  </si>
  <si>
    <t xml:space="preserve">Acima da tabela</t>
  </si>
  <si>
    <t xml:space="preserve">% acima</t>
  </si>
  <si>
    <t xml:space="preserve">Excesso (R$)</t>
  </si>
  <si>
    <t xml:space="preserve">Veloz Cargas</t>
  </si>
  <si>
    <t xml:space="preserve">Atlântico Logística</t>
  </si>
  <si>
    <t xml:space="preserve">Norte Sul Fretes</t>
  </si>
  <si>
    <t xml:space="preserve">TransLog Express</t>
  </si>
  <si>
    <t xml:space="preserve">RodoFácil Transportes</t>
  </si>
  <si>
    <t xml:space="preserve">Por mês de emissão (2026)</t>
  </si>
  <si>
    <t xml:space="preserve">Mês (nº)</t>
  </si>
  <si>
    <t xml:space="preserve">Nº fatura</t>
  </si>
  <si>
    <t xml:space="preserve">CT-e</t>
  </si>
  <si>
    <t xml:space="preserve">Data emissão</t>
  </si>
  <si>
    <t xml:space="preserve">Rota</t>
  </si>
  <si>
    <t xml:space="preserve">Origem</t>
  </si>
  <si>
    <t xml:space="preserve">Destino</t>
  </si>
  <si>
    <t xml:space="preserve">Peso (kg)</t>
  </si>
  <si>
    <t xml:space="preserve">Tarifa (R$/kg)</t>
  </si>
  <si>
    <t xml:space="preserve">Frete mínimo (R$)</t>
  </si>
  <si>
    <t xml:space="preserve">Valor cobrado (R$)</t>
  </si>
  <si>
    <t xml:space="preserve">Valor tabela (R$)</t>
  </si>
  <si>
    <t xml:space="preserve">Diferença (R$)</t>
  </si>
  <si>
    <t xml:space="preserve">Diferença (%)</t>
  </si>
  <si>
    <t xml:space="preserve">Status</t>
  </si>
  <si>
    <t xml:space="preserve">NF-100001</t>
  </si>
  <si>
    <t xml:space="preserve">CTE-0000001</t>
  </si>
  <si>
    <t xml:space="preserve">R09</t>
  </si>
  <si>
    <t xml:space="preserve">Curitiba/PR</t>
  </si>
  <si>
    <t xml:space="preserve">São Paulo/SP</t>
  </si>
  <si>
    <t xml:space="preserve">NF-100002</t>
  </si>
  <si>
    <t xml:space="preserve">CTE-0000002</t>
  </si>
  <si>
    <t xml:space="preserve">R07</t>
  </si>
  <si>
    <t xml:space="preserve">Campinas/SP</t>
  </si>
  <si>
    <t xml:space="preserve">Recife/PE</t>
  </si>
  <si>
    <t xml:space="preserve">NF-100003</t>
  </si>
  <si>
    <t xml:space="preserve">CTE-0000003</t>
  </si>
  <si>
    <t xml:space="preserve">NF-100004</t>
  </si>
  <si>
    <t xml:space="preserve">CTE-0000004</t>
  </si>
  <si>
    <t xml:space="preserve">R04</t>
  </si>
  <si>
    <t xml:space="preserve">NF-100005</t>
  </si>
  <si>
    <t xml:space="preserve">CTE-0000005</t>
  </si>
  <si>
    <t xml:space="preserve">NF-100006</t>
  </si>
  <si>
    <t xml:space="preserve">CTE-0000006</t>
  </si>
  <si>
    <t xml:space="preserve">R02</t>
  </si>
  <si>
    <t xml:space="preserve">Rio de Janeiro/RJ</t>
  </si>
  <si>
    <t xml:space="preserve">NF-100007</t>
  </si>
  <si>
    <t xml:space="preserve">CTE-0000007</t>
  </si>
  <si>
    <t xml:space="preserve">NF-100008</t>
  </si>
  <si>
    <t xml:space="preserve">CTE-0000008</t>
  </si>
  <si>
    <t xml:space="preserve">R05</t>
  </si>
  <si>
    <t xml:space="preserve">Porto Alegre/RS</t>
  </si>
  <si>
    <t xml:space="preserve">NF-100009</t>
  </si>
  <si>
    <t xml:space="preserve">CTE-0000009</t>
  </si>
  <si>
    <t xml:space="preserve">NF-100010</t>
  </si>
  <si>
    <t xml:space="preserve">CTE-0000010</t>
  </si>
  <si>
    <t xml:space="preserve">R03</t>
  </si>
  <si>
    <t xml:space="preserve">Belo Horizonte/MG</t>
  </si>
  <si>
    <t xml:space="preserve">NF-100011</t>
  </si>
  <si>
    <t xml:space="preserve">CTE-0000011</t>
  </si>
  <si>
    <t xml:space="preserve">NF-100012</t>
  </si>
  <si>
    <t xml:space="preserve">CTE-0000012</t>
  </si>
  <si>
    <t xml:space="preserve">R01</t>
  </si>
  <si>
    <t xml:space="preserve">NF-100013</t>
  </si>
  <si>
    <t xml:space="preserve">CTE-0000013</t>
  </si>
  <si>
    <t xml:space="preserve">NF-100014</t>
  </si>
  <si>
    <t xml:space="preserve">CTE-0000014</t>
  </si>
  <si>
    <t xml:space="preserve">NF-100015</t>
  </si>
  <si>
    <t xml:space="preserve">CTE-0000015</t>
  </si>
  <si>
    <t xml:space="preserve">NF-100016</t>
  </si>
  <si>
    <t xml:space="preserve">CTE-0000016</t>
  </si>
  <si>
    <t xml:space="preserve">R08</t>
  </si>
  <si>
    <t xml:space="preserve">Goiânia/GO</t>
  </si>
  <si>
    <t xml:space="preserve">NF-100017</t>
  </si>
  <si>
    <t xml:space="preserve">CTE-0000017</t>
  </si>
  <si>
    <t xml:space="preserve">NF-100018</t>
  </si>
  <si>
    <t xml:space="preserve">CTE-0000018</t>
  </si>
  <si>
    <t xml:space="preserve">NF-100019</t>
  </si>
  <si>
    <t xml:space="preserve">CTE-0000019</t>
  </si>
  <si>
    <t xml:space="preserve">NF-100020</t>
  </si>
  <si>
    <t xml:space="preserve">CTE-0000020</t>
  </si>
  <si>
    <t xml:space="preserve">NF-100021</t>
  </si>
  <si>
    <t xml:space="preserve">CTE-0000021</t>
  </si>
  <si>
    <t xml:space="preserve">NF-100022</t>
  </si>
  <si>
    <t xml:space="preserve">CTE-0000022</t>
  </si>
  <si>
    <t xml:space="preserve">NF-100023</t>
  </si>
  <si>
    <t xml:space="preserve">CTE-0000023</t>
  </si>
  <si>
    <t xml:space="preserve">R10</t>
  </si>
  <si>
    <t xml:space="preserve">NF-100024</t>
  </si>
  <si>
    <t xml:space="preserve">CTE-0000024</t>
  </si>
  <si>
    <t xml:space="preserve">NF-100025</t>
  </si>
  <si>
    <t xml:space="preserve">CTE-0000025</t>
  </si>
  <si>
    <t xml:space="preserve">NF-100026</t>
  </si>
  <si>
    <t xml:space="preserve">CTE-0000026</t>
  </si>
  <si>
    <t xml:space="preserve">NF-100027</t>
  </si>
  <si>
    <t xml:space="preserve">CTE-0000027</t>
  </si>
  <si>
    <t xml:space="preserve">NF-100028</t>
  </si>
  <si>
    <t xml:space="preserve">CTE-0000028</t>
  </si>
  <si>
    <t xml:space="preserve">NF-100029</t>
  </si>
  <si>
    <t xml:space="preserve">NF-100030</t>
  </si>
  <si>
    <t xml:space="preserve">CTE-0000029</t>
  </si>
  <si>
    <t xml:space="preserve">R06</t>
  </si>
  <si>
    <t xml:space="preserve">Salvador/BA</t>
  </si>
  <si>
    <t xml:space="preserve">NF-100031</t>
  </si>
  <si>
    <t xml:space="preserve">CTE-0000030</t>
  </si>
  <si>
    <t xml:space="preserve">NF-100032</t>
  </si>
  <si>
    <t xml:space="preserve">CTE-0000031</t>
  </si>
  <si>
    <t xml:space="preserve">NF-100033</t>
  </si>
  <si>
    <t xml:space="preserve">CTE-0000032</t>
  </si>
  <si>
    <t xml:space="preserve">NF-100034</t>
  </si>
  <si>
    <t xml:space="preserve">CTE-0000033</t>
  </si>
  <si>
    <t xml:space="preserve">NF-100035</t>
  </si>
  <si>
    <t xml:space="preserve">CTE-0000034</t>
  </si>
  <si>
    <t xml:space="preserve">NF-100036</t>
  </si>
  <si>
    <t xml:space="preserve">CTE-0000035</t>
  </si>
  <si>
    <t xml:space="preserve">NF-100037</t>
  </si>
  <si>
    <t xml:space="preserve">CTE-0000036</t>
  </si>
  <si>
    <t xml:space="preserve">NF-100038</t>
  </si>
  <si>
    <t xml:space="preserve">CTE-0000037</t>
  </si>
  <si>
    <t xml:space="preserve">NF-100039</t>
  </si>
  <si>
    <t xml:space="preserve">CTE-0000038</t>
  </si>
  <si>
    <t xml:space="preserve">NF-100040</t>
  </si>
  <si>
    <t xml:space="preserve">CTE-0000039</t>
  </si>
  <si>
    <t xml:space="preserve">NF-100041</t>
  </si>
  <si>
    <t xml:space="preserve">CTE-0000040</t>
  </si>
  <si>
    <t xml:space="preserve">NF-100042</t>
  </si>
  <si>
    <t xml:space="preserve">CTE-0000041</t>
  </si>
  <si>
    <t xml:space="preserve">NF-100043</t>
  </si>
  <si>
    <t xml:space="preserve">CTE-0000042</t>
  </si>
  <si>
    <t xml:space="preserve">NF-100044</t>
  </si>
  <si>
    <t xml:space="preserve">CTE-0000043</t>
  </si>
  <si>
    <t xml:space="preserve">NF-100045</t>
  </si>
  <si>
    <t xml:space="preserve">CTE-0000044</t>
  </si>
  <si>
    <t xml:space="preserve">NF-100046</t>
  </si>
  <si>
    <t xml:space="preserve">CTE-0000045</t>
  </si>
  <si>
    <t xml:space="preserve">NF-100047</t>
  </si>
  <si>
    <t xml:space="preserve">CTE-0000046</t>
  </si>
  <si>
    <t xml:space="preserve">NF-100048</t>
  </si>
  <si>
    <t xml:space="preserve">CTE-0000047</t>
  </si>
  <si>
    <t xml:space="preserve">NF-100049</t>
  </si>
  <si>
    <t xml:space="preserve">CTE-0000048</t>
  </si>
  <si>
    <t xml:space="preserve">NF-100050</t>
  </si>
  <si>
    <t xml:space="preserve">CTE-0000049</t>
  </si>
  <si>
    <t xml:space="preserve">NF-100051</t>
  </si>
  <si>
    <t xml:space="preserve">CTE-0000050</t>
  </si>
  <si>
    <t xml:space="preserve">NF-100052</t>
  </si>
  <si>
    <t xml:space="preserve">CTE-0000051</t>
  </si>
  <si>
    <t xml:space="preserve">NF-100053</t>
  </si>
  <si>
    <t xml:space="preserve">CTE-0000052</t>
  </si>
  <si>
    <t xml:space="preserve">NF-100054</t>
  </si>
  <si>
    <t xml:space="preserve">CTE-0000053</t>
  </si>
  <si>
    <t xml:space="preserve">NF-100055</t>
  </si>
  <si>
    <t xml:space="preserve">CTE-0000054</t>
  </si>
  <si>
    <t xml:space="preserve">NF-100056</t>
  </si>
  <si>
    <t xml:space="preserve">CTE-0000055</t>
  </si>
  <si>
    <t xml:space="preserve">NF-100057</t>
  </si>
  <si>
    <t xml:space="preserve">CTE-0000056</t>
  </si>
  <si>
    <t xml:space="preserve">NF-100058</t>
  </si>
  <si>
    <t xml:space="preserve">CTE-0000057</t>
  </si>
  <si>
    <t xml:space="preserve">NF-100059</t>
  </si>
  <si>
    <t xml:space="preserve">CTE-0000058</t>
  </si>
  <si>
    <t xml:space="preserve">NF-100060</t>
  </si>
  <si>
    <t xml:space="preserve">CTE-0000059</t>
  </si>
  <si>
    <t xml:space="preserve">NF-100061</t>
  </si>
  <si>
    <t xml:space="preserve">CTE-0000060</t>
  </si>
  <si>
    <t xml:space="preserve">NF-100062</t>
  </si>
  <si>
    <t xml:space="preserve">CTE-0000061</t>
  </si>
  <si>
    <t xml:space="preserve">NF-100063</t>
  </si>
  <si>
    <t xml:space="preserve">CTE-0000062</t>
  </si>
  <si>
    <t xml:space="preserve">NF-100064</t>
  </si>
  <si>
    <t xml:space="preserve">CTE-0000063</t>
  </si>
  <si>
    <t xml:space="preserve">NF-100065</t>
  </si>
  <si>
    <t xml:space="preserve">CTE-0000064</t>
  </si>
  <si>
    <t xml:space="preserve">NF-100066</t>
  </si>
  <si>
    <t xml:space="preserve">CTE-0000065</t>
  </si>
  <si>
    <t xml:space="preserve">NF-100067</t>
  </si>
  <si>
    <t xml:space="preserve">CTE-0000066</t>
  </si>
  <si>
    <t xml:space="preserve">NF-100068</t>
  </si>
  <si>
    <t xml:space="preserve">CTE-0000067</t>
  </si>
  <si>
    <t xml:space="preserve">NF-100069</t>
  </si>
  <si>
    <t xml:space="preserve">CTE-0000068</t>
  </si>
  <si>
    <t xml:space="preserve">NF-100070</t>
  </si>
  <si>
    <t xml:space="preserve">CTE-0000069</t>
  </si>
  <si>
    <t xml:space="preserve">NF-100071</t>
  </si>
  <si>
    <t xml:space="preserve">CTE-0000070</t>
  </si>
  <si>
    <t xml:space="preserve">NF-100072</t>
  </si>
  <si>
    <t xml:space="preserve">CTE-0000071</t>
  </si>
  <si>
    <t xml:space="preserve">NF-100073</t>
  </si>
  <si>
    <t xml:space="preserve">CTE-0000072</t>
  </si>
  <si>
    <t xml:space="preserve">NF-100074</t>
  </si>
  <si>
    <t xml:space="preserve">CTE-0000073</t>
  </si>
  <si>
    <t xml:space="preserve">NF-100075</t>
  </si>
  <si>
    <t xml:space="preserve">CTE-0000074</t>
  </si>
  <si>
    <t xml:space="preserve">NF-100076</t>
  </si>
  <si>
    <t xml:space="preserve">CTE-0000075</t>
  </si>
  <si>
    <t xml:space="preserve">NF-100077</t>
  </si>
  <si>
    <t xml:space="preserve">CTE-0000076</t>
  </si>
  <si>
    <t xml:space="preserve">NF-100078</t>
  </si>
  <si>
    <t xml:space="preserve">CTE-0000077</t>
  </si>
  <si>
    <t xml:space="preserve">NF-100079</t>
  </si>
  <si>
    <t xml:space="preserve">CTE-0000078</t>
  </si>
  <si>
    <t xml:space="preserve">NF-100080</t>
  </si>
  <si>
    <t xml:space="preserve">CTE-0000079</t>
  </si>
  <si>
    <t xml:space="preserve">NF-100081</t>
  </si>
  <si>
    <t xml:space="preserve">CTE-0000080</t>
  </si>
  <si>
    <t xml:space="preserve">NF-100082</t>
  </si>
  <si>
    <t xml:space="preserve">CTE-0000081</t>
  </si>
  <si>
    <t xml:space="preserve">NF-100083</t>
  </si>
  <si>
    <t xml:space="preserve">CTE-0000082</t>
  </si>
  <si>
    <t xml:space="preserve">NF-100084</t>
  </si>
  <si>
    <t xml:space="preserve">CTE-0000083</t>
  </si>
  <si>
    <t xml:space="preserve">NF-100085</t>
  </si>
  <si>
    <t xml:space="preserve">CTE-0000084</t>
  </si>
  <si>
    <t xml:space="preserve">NF-100086</t>
  </si>
  <si>
    <t xml:space="preserve">CTE-0000085</t>
  </si>
  <si>
    <t xml:space="preserve">NF-100087</t>
  </si>
  <si>
    <t xml:space="preserve">CTE-0000086</t>
  </si>
  <si>
    <t xml:space="preserve">NF-100088</t>
  </si>
  <si>
    <t xml:space="preserve">CTE-0000087</t>
  </si>
  <si>
    <t xml:space="preserve">NF-100089</t>
  </si>
  <si>
    <t xml:space="preserve">CTE-0000088</t>
  </si>
  <si>
    <t xml:space="preserve">NF-100090</t>
  </si>
  <si>
    <t xml:space="preserve">CTE-0000089</t>
  </si>
  <si>
    <t xml:space="preserve">NF-100091</t>
  </si>
  <si>
    <t xml:space="preserve">CTE-0000090</t>
  </si>
  <si>
    <t xml:space="preserve">NF-100092</t>
  </si>
  <si>
    <t xml:space="preserve">CTE-0000091</t>
  </si>
  <si>
    <t xml:space="preserve">NF-100093</t>
  </si>
  <si>
    <t xml:space="preserve">CTE-0000092</t>
  </si>
  <si>
    <t xml:space="preserve">NF-100094</t>
  </si>
  <si>
    <t xml:space="preserve">CTE-0000093</t>
  </si>
  <si>
    <t xml:space="preserve">NF-100095</t>
  </si>
  <si>
    <t xml:space="preserve">CTE-0000094</t>
  </si>
  <si>
    <t xml:space="preserve">NF-100096</t>
  </si>
  <si>
    <t xml:space="preserve">CTE-0000095</t>
  </si>
  <si>
    <t xml:space="preserve">NF-100097</t>
  </si>
  <si>
    <t xml:space="preserve">CTE-0000096</t>
  </si>
  <si>
    <t xml:space="preserve">NF-100098</t>
  </si>
  <si>
    <t xml:space="preserve">CTE-0000097</t>
  </si>
  <si>
    <t xml:space="preserve">NF-100099</t>
  </si>
  <si>
    <t xml:space="preserve">CTE-0000098</t>
  </si>
  <si>
    <t xml:space="preserve">NF-100100</t>
  </si>
  <si>
    <t xml:space="preserve">CTE-0000099</t>
  </si>
  <si>
    <t xml:space="preserve">NF-100101</t>
  </si>
  <si>
    <t xml:space="preserve">CTE-0000100</t>
  </si>
  <si>
    <t xml:space="preserve">NF-100102</t>
  </si>
  <si>
    <t xml:space="preserve">CTE-0000101</t>
  </si>
  <si>
    <t xml:space="preserve">NF-100103</t>
  </si>
  <si>
    <t xml:space="preserve">CTE-0000102</t>
  </si>
  <si>
    <t xml:space="preserve">NF-100104</t>
  </si>
  <si>
    <t xml:space="preserve">CTE-0000103</t>
  </si>
  <si>
    <t xml:space="preserve">NF-100105</t>
  </si>
  <si>
    <t xml:space="preserve">CTE-0000104</t>
  </si>
  <si>
    <t xml:space="preserve">NF-100106</t>
  </si>
  <si>
    <t xml:space="preserve">CTE-0000105</t>
  </si>
  <si>
    <t xml:space="preserve">NF-100107</t>
  </si>
  <si>
    <t xml:space="preserve">CTE-0000106</t>
  </si>
  <si>
    <t xml:space="preserve">NF-100108</t>
  </si>
  <si>
    <t xml:space="preserve">CTE-0000107</t>
  </si>
  <si>
    <t xml:space="preserve">NF-100109</t>
  </si>
  <si>
    <t xml:space="preserve">CTE-0000108</t>
  </si>
  <si>
    <t xml:space="preserve">NF-100110</t>
  </si>
  <si>
    <t xml:space="preserve">NF-100111</t>
  </si>
  <si>
    <t xml:space="preserve">CTE-0000109</t>
  </si>
  <si>
    <t xml:space="preserve">NF-100112</t>
  </si>
  <si>
    <t xml:space="preserve">CTE-0000110</t>
  </si>
  <si>
    <t xml:space="preserve">NF-100113</t>
  </si>
  <si>
    <t xml:space="preserve">CTE-0000111</t>
  </si>
  <si>
    <t xml:space="preserve">NF-100114</t>
  </si>
  <si>
    <t xml:space="preserve">CTE-0000112</t>
  </si>
  <si>
    <t xml:space="preserve">NF-100115</t>
  </si>
  <si>
    <t xml:space="preserve">CTE-0000113</t>
  </si>
  <si>
    <t xml:space="preserve">NF-100116</t>
  </si>
  <si>
    <t xml:space="preserve">CTE-0000114</t>
  </si>
  <si>
    <t xml:space="preserve">NF-100117</t>
  </si>
  <si>
    <t xml:space="preserve">CTE-0000115</t>
  </si>
  <si>
    <t xml:space="preserve">NF-100118</t>
  </si>
  <si>
    <t xml:space="preserve">CTE-0000116</t>
  </si>
  <si>
    <t xml:space="preserve">NF-100119</t>
  </si>
  <si>
    <t xml:space="preserve">CTE-0000117</t>
  </si>
  <si>
    <t xml:space="preserve">NF-100120</t>
  </si>
  <si>
    <t xml:space="preserve">CTE-0000118</t>
  </si>
  <si>
    <t xml:space="preserve">NF-100121</t>
  </si>
  <si>
    <t xml:space="preserve">CTE-0000119</t>
  </si>
  <si>
    <t xml:space="preserve">NF-100122</t>
  </si>
  <si>
    <t xml:space="preserve">CTE-0000120</t>
  </si>
  <si>
    <t xml:space="preserve">NF-100123</t>
  </si>
  <si>
    <t xml:space="preserve">CTE-0000121</t>
  </si>
  <si>
    <t xml:space="preserve">NF-100124</t>
  </si>
  <si>
    <t xml:space="preserve">CTE-0000122</t>
  </si>
  <si>
    <t xml:space="preserve">NF-100125</t>
  </si>
  <si>
    <t xml:space="preserve">CTE-0000123</t>
  </si>
  <si>
    <t xml:space="preserve">NF-100126</t>
  </si>
  <si>
    <t xml:space="preserve">CTE-0000124</t>
  </si>
  <si>
    <t xml:space="preserve">NF-100127</t>
  </si>
  <si>
    <t xml:space="preserve">CTE-0000125</t>
  </si>
  <si>
    <t xml:space="preserve">NF-100128</t>
  </si>
  <si>
    <t xml:space="preserve">CTE-0000126</t>
  </si>
  <si>
    <t xml:space="preserve">NF-100129</t>
  </si>
  <si>
    <t xml:space="preserve">CTE-0000127</t>
  </si>
  <si>
    <t xml:space="preserve">NF-100130</t>
  </si>
  <si>
    <t xml:space="preserve">CTE-0000128</t>
  </si>
  <si>
    <t xml:space="preserve">NF-100131</t>
  </si>
  <si>
    <t xml:space="preserve">CTE-0000129</t>
  </si>
  <si>
    <t xml:space="preserve">NF-100132</t>
  </si>
  <si>
    <t xml:space="preserve">CTE-0000130</t>
  </si>
  <si>
    <t xml:space="preserve">NF-100133</t>
  </si>
  <si>
    <t xml:space="preserve">CTE-0000131</t>
  </si>
  <si>
    <t xml:space="preserve">NF-100134</t>
  </si>
  <si>
    <t xml:space="preserve">CTE-0000132</t>
  </si>
  <si>
    <t xml:space="preserve">NF-100135</t>
  </si>
  <si>
    <t xml:space="preserve">CTE-0000133</t>
  </si>
  <si>
    <t xml:space="preserve">NF-100136</t>
  </si>
  <si>
    <t xml:space="preserve">CTE-0000134</t>
  </si>
  <si>
    <t xml:space="preserve">NF-100137</t>
  </si>
  <si>
    <t xml:space="preserve">CTE-0000135</t>
  </si>
  <si>
    <t xml:space="preserve">NF-100138</t>
  </si>
  <si>
    <t xml:space="preserve">NF-100139</t>
  </si>
  <si>
    <t xml:space="preserve">CTE-0000136</t>
  </si>
  <si>
    <t xml:space="preserve">NF-100140</t>
  </si>
  <si>
    <t xml:space="preserve">CTE-0000137</t>
  </si>
  <si>
    <t xml:space="preserve">NF-100141</t>
  </si>
  <si>
    <t xml:space="preserve">CTE-0000138</t>
  </si>
  <si>
    <t xml:space="preserve">NF-100142</t>
  </si>
  <si>
    <t xml:space="preserve">CTE-0000139</t>
  </si>
  <si>
    <t xml:space="preserve">NF-100143</t>
  </si>
  <si>
    <t xml:space="preserve">CTE-0000140</t>
  </si>
  <si>
    <t xml:space="preserve">NF-100144</t>
  </si>
  <si>
    <t xml:space="preserve">CTE-0000141</t>
  </si>
  <si>
    <t xml:space="preserve">NF-100145</t>
  </si>
  <si>
    <t xml:space="preserve">CTE-0000142</t>
  </si>
  <si>
    <t xml:space="preserve">NF-100146</t>
  </si>
  <si>
    <t xml:space="preserve">CTE-0000143</t>
  </si>
  <si>
    <t xml:space="preserve">NF-100147</t>
  </si>
  <si>
    <t xml:space="preserve">CTE-0000144</t>
  </si>
  <si>
    <t xml:space="preserve">NF-100148</t>
  </si>
  <si>
    <t xml:space="preserve">CTE-0000145</t>
  </si>
  <si>
    <t xml:space="preserve">NF-100149</t>
  </si>
  <si>
    <t xml:space="preserve">CTE-0000146</t>
  </si>
  <si>
    <t xml:space="preserve">NF-100150</t>
  </si>
  <si>
    <t xml:space="preserve">CTE-0000147</t>
  </si>
  <si>
    <t xml:space="preserve">NF-100151</t>
  </si>
  <si>
    <t xml:space="preserve">CTE-0000148</t>
  </si>
  <si>
    <t xml:space="preserve">NF-100152</t>
  </si>
  <si>
    <t xml:space="preserve">CTE-0000149</t>
  </si>
  <si>
    <t xml:space="preserve">NF-100153</t>
  </si>
  <si>
    <t xml:space="preserve">CTE-0000150</t>
  </si>
  <si>
    <t xml:space="preserve">NF-100154</t>
  </si>
  <si>
    <t xml:space="preserve">CTE-0000151</t>
  </si>
  <si>
    <t xml:space="preserve">NF-100155</t>
  </si>
  <si>
    <t xml:space="preserve">CTE-0000152</t>
  </si>
  <si>
    <t xml:space="preserve">NF-100156</t>
  </si>
  <si>
    <t xml:space="preserve">CTE-0000153</t>
  </si>
  <si>
    <t xml:space="preserve">NF-100157</t>
  </si>
  <si>
    <t xml:space="preserve">CTE-0000154</t>
  </si>
  <si>
    <t xml:space="preserve">NF-100158</t>
  </si>
  <si>
    <t xml:space="preserve">CTE-0000155</t>
  </si>
  <si>
    <t xml:space="preserve">NF-100159</t>
  </si>
  <si>
    <t xml:space="preserve">CTE-0000156</t>
  </si>
  <si>
    <t xml:space="preserve">NF-100160</t>
  </si>
  <si>
    <t xml:space="preserve">CTE-0000157</t>
  </si>
  <si>
    <t xml:space="preserve">NF-100161</t>
  </si>
  <si>
    <t xml:space="preserve">CTE-0000158</t>
  </si>
  <si>
    <t xml:space="preserve">NF-100162</t>
  </si>
  <si>
    <t xml:space="preserve">CTE-0000159</t>
  </si>
  <si>
    <t xml:space="preserve">NF-100163</t>
  </si>
  <si>
    <t xml:space="preserve">CTE-0000160</t>
  </si>
  <si>
    <t xml:space="preserve">NF-100164</t>
  </si>
  <si>
    <t xml:space="preserve">CTE-0000161</t>
  </si>
  <si>
    <t xml:space="preserve">NF-100165</t>
  </si>
  <si>
    <t xml:space="preserve">CTE-0000162</t>
  </si>
  <si>
    <t xml:space="preserve">NF-100166</t>
  </si>
  <si>
    <t xml:space="preserve">CTE-0000163</t>
  </si>
  <si>
    <t xml:space="preserve">NF-100167</t>
  </si>
  <si>
    <t xml:space="preserve">CTE-0000164</t>
  </si>
  <si>
    <t xml:space="preserve">NF-100168</t>
  </si>
  <si>
    <t xml:space="preserve">CTE-0000165</t>
  </si>
  <si>
    <t xml:space="preserve">NF-100169</t>
  </si>
  <si>
    <t xml:space="preserve">CTE-0000166</t>
  </si>
  <si>
    <t xml:space="preserve">NF-100170</t>
  </si>
  <si>
    <t xml:space="preserve">CTE-0000167</t>
  </si>
  <si>
    <t xml:space="preserve">NF-100171</t>
  </si>
  <si>
    <t xml:space="preserve">CTE-0000168</t>
  </si>
  <si>
    <t xml:space="preserve">NF-100172</t>
  </si>
  <si>
    <t xml:space="preserve">CTE-0000169</t>
  </si>
  <si>
    <t xml:space="preserve">NF-100173</t>
  </si>
  <si>
    <t xml:space="preserve">CTE-0000170</t>
  </si>
  <si>
    <t xml:space="preserve">NF-100174</t>
  </si>
  <si>
    <t xml:space="preserve">CTE-0000171</t>
  </si>
  <si>
    <t xml:space="preserve">NF-100175</t>
  </si>
  <si>
    <t xml:space="preserve">CTE-0000172</t>
  </si>
  <si>
    <t xml:space="preserve">NF-100176</t>
  </si>
  <si>
    <t xml:space="preserve">CTE-0000173</t>
  </si>
  <si>
    <t xml:space="preserve">NF-100177</t>
  </si>
  <si>
    <t xml:space="preserve">CTE-0000174</t>
  </si>
  <si>
    <t xml:space="preserve">NF-100178</t>
  </si>
  <si>
    <t xml:space="preserve">CTE-0000175</t>
  </si>
  <si>
    <t xml:space="preserve">NF-100179</t>
  </si>
  <si>
    <t xml:space="preserve">CTE-0000176</t>
  </si>
  <si>
    <t xml:space="preserve">NF-100180</t>
  </si>
  <si>
    <t xml:space="preserve">CTE-0000177</t>
  </si>
  <si>
    <t xml:space="preserve">NF-100181</t>
  </si>
  <si>
    <t xml:space="preserve">CTE-0000178</t>
  </si>
  <si>
    <t xml:space="preserve">NF-100182</t>
  </si>
  <si>
    <t xml:space="preserve">CTE-0000179</t>
  </si>
  <si>
    <t xml:space="preserve">NF-100183</t>
  </si>
  <si>
    <t xml:space="preserve">CTE-0000180</t>
  </si>
  <si>
    <t xml:space="preserve">NF-100184</t>
  </si>
  <si>
    <t xml:space="preserve">CTE-0000181</t>
  </si>
  <si>
    <t xml:space="preserve">NF-100185</t>
  </si>
  <si>
    <t xml:space="preserve">CTE-0000182</t>
  </si>
  <si>
    <t xml:space="preserve">NF-100186</t>
  </si>
  <si>
    <t xml:space="preserve">CTE-0000183</t>
  </si>
  <si>
    <t xml:space="preserve">NF-100187</t>
  </si>
  <si>
    <t xml:space="preserve">CTE-0000184</t>
  </si>
  <si>
    <t xml:space="preserve">NF-100188</t>
  </si>
  <si>
    <t xml:space="preserve">CTE-0000185</t>
  </si>
  <si>
    <t xml:space="preserve">NF-100189</t>
  </si>
  <si>
    <t xml:space="preserve">CTE-0000186</t>
  </si>
  <si>
    <t xml:space="preserve">NF-100190</t>
  </si>
  <si>
    <t xml:space="preserve">CTE-0000187</t>
  </si>
  <si>
    <t xml:space="preserve">NF-100191</t>
  </si>
  <si>
    <t xml:space="preserve">CTE-0000188</t>
  </si>
  <si>
    <t xml:space="preserve">NF-100192</t>
  </si>
  <si>
    <t xml:space="preserve">CTE-0000189</t>
  </si>
  <si>
    <t xml:space="preserve">NF-100193</t>
  </si>
  <si>
    <t xml:space="preserve">CTE-0000190</t>
  </si>
  <si>
    <t xml:space="preserve">NF-100194</t>
  </si>
  <si>
    <t xml:space="preserve">CTE-0000191</t>
  </si>
  <si>
    <t xml:space="preserve">NF-100195</t>
  </si>
  <si>
    <t xml:space="preserve">CTE-0000192</t>
  </si>
  <si>
    <t xml:space="preserve">NF-100196</t>
  </si>
  <si>
    <t xml:space="preserve">CTE-0000193</t>
  </si>
  <si>
    <t xml:space="preserve">NF-100197</t>
  </si>
  <si>
    <t xml:space="preserve">CTE-0000194</t>
  </si>
  <si>
    <t xml:space="preserve">NF-100198</t>
  </si>
  <si>
    <t xml:space="preserve">CTE-0000195</t>
  </si>
  <si>
    <t xml:space="preserve">NF-100199</t>
  </si>
  <si>
    <t xml:space="preserve">CTE-0000196</t>
  </si>
  <si>
    <t xml:space="preserve">NF-100200</t>
  </si>
  <si>
    <t xml:space="preserve">CTE-0000197</t>
  </si>
  <si>
    <t xml:space="preserve">NF-100201</t>
  </si>
  <si>
    <t xml:space="preserve">CTE-0000198</t>
  </si>
  <si>
    <t xml:space="preserve">NF-100202</t>
  </si>
  <si>
    <t xml:space="preserve">CTE-0000199</t>
  </si>
  <si>
    <t xml:space="preserve">NF-100203</t>
  </si>
  <si>
    <t xml:space="preserve">CTE-0000200</t>
  </si>
  <si>
    <t xml:space="preserve">NF-100204</t>
  </si>
  <si>
    <t xml:space="preserve">CTE-0000201</t>
  </si>
  <si>
    <t xml:space="preserve">NF-100205</t>
  </si>
  <si>
    <t xml:space="preserve">CTE-0000202</t>
  </si>
  <si>
    <t xml:space="preserve">NF-100206</t>
  </si>
  <si>
    <t xml:space="preserve">CTE-0000203</t>
  </si>
  <si>
    <t xml:space="preserve">NF-100207</t>
  </si>
  <si>
    <t xml:space="preserve">CTE-0000204</t>
  </si>
  <si>
    <t xml:space="preserve">NF-100208</t>
  </si>
  <si>
    <t xml:space="preserve">CTE-0000205</t>
  </si>
  <si>
    <t xml:space="preserve">NF-100209</t>
  </si>
  <si>
    <t xml:space="preserve">CTE-0000206</t>
  </si>
  <si>
    <t xml:space="preserve">NF-100210</t>
  </si>
  <si>
    <t xml:space="preserve">CTE-0000207</t>
  </si>
  <si>
    <t xml:space="preserve">NF-100211</t>
  </si>
  <si>
    <t xml:space="preserve">CTE-0000208</t>
  </si>
  <si>
    <t xml:space="preserve">NF-100212</t>
  </si>
  <si>
    <t xml:space="preserve">CTE-0000209</t>
  </si>
  <si>
    <t xml:space="preserve">NF-100213</t>
  </si>
  <si>
    <t xml:space="preserve">CTE-0000210</t>
  </si>
  <si>
    <t xml:space="preserve">NF-100214</t>
  </si>
  <si>
    <t xml:space="preserve">CTE-0000211</t>
  </si>
  <si>
    <t xml:space="preserve">NF-100215</t>
  </si>
  <si>
    <t xml:space="preserve">CTE-0000212</t>
  </si>
  <si>
    <t xml:space="preserve">NF-100216</t>
  </si>
  <si>
    <t xml:space="preserve">CTE-0000213</t>
  </si>
  <si>
    <t xml:space="preserve">NF-100217</t>
  </si>
  <si>
    <t xml:space="preserve">CTE-0000214</t>
  </si>
  <si>
    <t xml:space="preserve">NF-100218</t>
  </si>
  <si>
    <t xml:space="preserve">CTE-0000215</t>
  </si>
  <si>
    <t xml:space="preserve">NF-100219</t>
  </si>
  <si>
    <t xml:space="preserve">CTE-0000216</t>
  </si>
  <si>
    <t xml:space="preserve">NF-100220</t>
  </si>
  <si>
    <t xml:space="preserve">CTE-0000217</t>
  </si>
  <si>
    <t xml:space="preserve">NF-100221</t>
  </si>
  <si>
    <t xml:space="preserve">CTE-0000218</t>
  </si>
  <si>
    <t xml:space="preserve">NF-100222</t>
  </si>
  <si>
    <t xml:space="preserve">CTE-0000219</t>
  </si>
  <si>
    <t xml:space="preserve">NF-100223</t>
  </si>
  <si>
    <t xml:space="preserve">CTE-0000220</t>
  </si>
  <si>
    <t xml:space="preserve">NF-100224</t>
  </si>
  <si>
    <t xml:space="preserve">CTE-0000221</t>
  </si>
  <si>
    <t xml:space="preserve">NF-100225</t>
  </si>
  <si>
    <t xml:space="preserve">CTE-0000222</t>
  </si>
  <si>
    <t xml:space="preserve">NF-100226</t>
  </si>
  <si>
    <t xml:space="preserve">CTE-0000223</t>
  </si>
  <si>
    <t xml:space="preserve">NF-100227</t>
  </si>
  <si>
    <t xml:space="preserve">CTE-0000224</t>
  </si>
  <si>
    <t xml:space="preserve">NF-100228</t>
  </si>
  <si>
    <t xml:space="preserve">CTE-0000225</t>
  </si>
  <si>
    <t xml:space="preserve">NF-100229</t>
  </si>
  <si>
    <t xml:space="preserve">CTE-0000226</t>
  </si>
  <si>
    <t xml:space="preserve">NF-100230</t>
  </si>
  <si>
    <t xml:space="preserve">CTE-0000227</t>
  </si>
  <si>
    <t xml:space="preserve">NF-100231</t>
  </si>
  <si>
    <t xml:space="preserve">CTE-0000228</t>
  </si>
  <si>
    <t xml:space="preserve">NF-100232</t>
  </si>
  <si>
    <t xml:space="preserve">CTE-0000229</t>
  </si>
  <si>
    <t xml:space="preserve">NF-100233</t>
  </si>
  <si>
    <t xml:space="preserve">CTE-0000230</t>
  </si>
  <si>
    <t xml:space="preserve">NF-100234</t>
  </si>
  <si>
    <t xml:space="preserve">CTE-0000231</t>
  </si>
  <si>
    <t xml:space="preserve">NF-100235</t>
  </si>
  <si>
    <t xml:space="preserve">CTE-0000232</t>
  </si>
  <si>
    <t xml:space="preserve">NF-100236</t>
  </si>
  <si>
    <t xml:space="preserve">CTE-0000233</t>
  </si>
  <si>
    <t xml:space="preserve">NF-100237</t>
  </si>
  <si>
    <t xml:space="preserve">CTE-0000234</t>
  </si>
  <si>
    <t xml:space="preserve">NF-100238</t>
  </si>
  <si>
    <t xml:space="preserve">CTE-0000235</t>
  </si>
  <si>
    <t xml:space="preserve">NF-100239</t>
  </si>
  <si>
    <t xml:space="preserve">CTE-0000236</t>
  </si>
  <si>
    <t xml:space="preserve">NF-100240</t>
  </si>
  <si>
    <t xml:space="preserve">CTE-0000237</t>
  </si>
  <si>
    <t xml:space="preserve">NF-100241</t>
  </si>
  <si>
    <t xml:space="preserve">CTE-0000238</t>
  </si>
  <si>
    <t xml:space="preserve">NF-100242</t>
  </si>
  <si>
    <t xml:space="preserve">CTE-0000239</t>
  </si>
  <si>
    <t xml:space="preserve">NF-100243</t>
  </si>
  <si>
    <t xml:space="preserve">CTE-0000240</t>
  </si>
  <si>
    <t xml:space="preserve">NF-100244</t>
  </si>
  <si>
    <t xml:space="preserve">CTE-0000241</t>
  </si>
  <si>
    <t xml:space="preserve">NF-100245</t>
  </si>
  <si>
    <t xml:space="preserve">CTE-0000242</t>
  </si>
  <si>
    <t xml:space="preserve">NF-100246</t>
  </si>
  <si>
    <t xml:space="preserve">CTE-0000243</t>
  </si>
  <si>
    <t xml:space="preserve">NF-100247</t>
  </si>
  <si>
    <t xml:space="preserve">CTE-0000244</t>
  </si>
  <si>
    <t xml:space="preserve">NF-100248</t>
  </si>
  <si>
    <t xml:space="preserve">CTE-0000245</t>
  </si>
  <si>
    <t xml:space="preserve">NF-100249</t>
  </si>
  <si>
    <t xml:space="preserve">CTE-0000246</t>
  </si>
  <si>
    <t xml:space="preserve">NF-100250</t>
  </si>
  <si>
    <t xml:space="preserve">CTE-0000247</t>
  </si>
  <si>
    <t xml:space="preserve">NF-100251</t>
  </si>
  <si>
    <t xml:space="preserve">CTE-0000248</t>
  </si>
  <si>
    <t xml:space="preserve">NF-100252</t>
  </si>
  <si>
    <t xml:space="preserve">CTE-0000249</t>
  </si>
  <si>
    <t xml:space="preserve">NF-100253</t>
  </si>
  <si>
    <t xml:space="preserve">CTE-0000250</t>
  </si>
  <si>
    <t xml:space="preserve">NF-100254</t>
  </si>
  <si>
    <t xml:space="preserve">CTE-0000251</t>
  </si>
  <si>
    <t xml:space="preserve">NF-100255</t>
  </si>
  <si>
    <t xml:space="preserve">CTE-0000252</t>
  </si>
  <si>
    <t xml:space="preserve">NF-100256</t>
  </si>
  <si>
    <t xml:space="preserve">CTE-0000253</t>
  </si>
  <si>
    <t xml:space="preserve">NF-100257</t>
  </si>
  <si>
    <t xml:space="preserve">CTE-0000254</t>
  </si>
  <si>
    <t xml:space="preserve">NF-100258</t>
  </si>
  <si>
    <t xml:space="preserve">CTE-0000255</t>
  </si>
  <si>
    <t xml:space="preserve">NF-100259</t>
  </si>
  <si>
    <t xml:space="preserve">CTE-0000256</t>
  </si>
  <si>
    <t xml:space="preserve">NF-100260</t>
  </si>
  <si>
    <t xml:space="preserve">CTE-0000257</t>
  </si>
  <si>
    <t xml:space="preserve">NF-100261</t>
  </si>
  <si>
    <t xml:space="preserve">CTE-0000258</t>
  </si>
  <si>
    <t xml:space="preserve">NF-100262</t>
  </si>
  <si>
    <t xml:space="preserve">CTE-0000259</t>
  </si>
  <si>
    <t xml:space="preserve">NF-100263</t>
  </si>
  <si>
    <t xml:space="preserve">CTE-0000260</t>
  </si>
  <si>
    <t xml:space="preserve">NF-100264</t>
  </si>
  <si>
    <t xml:space="preserve">CTE-0000261</t>
  </si>
  <si>
    <t xml:space="preserve">NF-100265</t>
  </si>
  <si>
    <t xml:space="preserve">CTE-0000262</t>
  </si>
  <si>
    <t xml:space="preserve">NF-100266</t>
  </si>
  <si>
    <t xml:space="preserve">CTE-0000263</t>
  </si>
  <si>
    <t xml:space="preserve">NF-100267</t>
  </si>
  <si>
    <t xml:space="preserve">CTE-0000264</t>
  </si>
  <si>
    <t xml:space="preserve">NF-100268</t>
  </si>
  <si>
    <t xml:space="preserve">CTE-0000265</t>
  </si>
  <si>
    <t xml:space="preserve">NF-100269</t>
  </si>
  <si>
    <t xml:space="preserve">CTE-0000266</t>
  </si>
  <si>
    <t xml:space="preserve">NF-100270</t>
  </si>
  <si>
    <t xml:space="preserve">CTE-0000267</t>
  </si>
  <si>
    <t xml:space="preserve">NF-100271</t>
  </si>
  <si>
    <t xml:space="preserve">CTE-0000268</t>
  </si>
  <si>
    <t xml:space="preserve">NF-100272</t>
  </si>
  <si>
    <t xml:space="preserve">CTE-0000269</t>
  </si>
  <si>
    <t xml:space="preserve">NF-100273</t>
  </si>
  <si>
    <t xml:space="preserve">CTE-0000270</t>
  </si>
  <si>
    <t xml:space="preserve">NF-100274</t>
  </si>
  <si>
    <t xml:space="preserve">CTE-0000271</t>
  </si>
  <si>
    <t xml:space="preserve">NF-100275</t>
  </si>
  <si>
    <t xml:space="preserve">CTE-0000272</t>
  </si>
  <si>
    <t xml:space="preserve">NF-100276</t>
  </si>
  <si>
    <t xml:space="preserve">CTE-0000273</t>
  </si>
  <si>
    <t xml:space="preserve">NF-100277</t>
  </si>
  <si>
    <t xml:space="preserve">CTE-0000274</t>
  </si>
  <si>
    <t xml:space="preserve">NF-100278</t>
  </si>
  <si>
    <t xml:space="preserve">CTE-0000275</t>
  </si>
  <si>
    <t xml:space="preserve">NF-100279</t>
  </si>
  <si>
    <t xml:space="preserve">CTE-0000276</t>
  </si>
  <si>
    <t xml:space="preserve">NF-100280</t>
  </si>
  <si>
    <t xml:space="preserve">CTE-0000277</t>
  </si>
  <si>
    <t xml:space="preserve">NF-100281</t>
  </si>
  <si>
    <t xml:space="preserve">CTE-0000278</t>
  </si>
  <si>
    <t xml:space="preserve">NF-100282</t>
  </si>
  <si>
    <t xml:space="preserve">CTE-0000279</t>
  </si>
  <si>
    <t xml:space="preserve">NF-100283</t>
  </si>
  <si>
    <t xml:space="preserve">CTE-0000280</t>
  </si>
  <si>
    <t xml:space="preserve">NF-100284</t>
  </si>
  <si>
    <t xml:space="preserve">CTE-0000281</t>
  </si>
  <si>
    <t xml:space="preserve">NF-100285</t>
  </si>
  <si>
    <t xml:space="preserve">CTE-0000282</t>
  </si>
  <si>
    <t xml:space="preserve">NF-100286</t>
  </si>
  <si>
    <t xml:space="preserve">CTE-0000283</t>
  </si>
  <si>
    <t xml:space="preserve">NF-100287</t>
  </si>
  <si>
    <t xml:space="preserve">CTE-0000284</t>
  </si>
  <si>
    <t xml:space="preserve">NF-100288</t>
  </si>
  <si>
    <t xml:space="preserve">CTE-0000285</t>
  </si>
  <si>
    <t xml:space="preserve">NF-100289</t>
  </si>
  <si>
    <t xml:space="preserve">CTE-0000286</t>
  </si>
  <si>
    <t xml:space="preserve">NF-100290</t>
  </si>
  <si>
    <t xml:space="preserve">CTE-0000287</t>
  </si>
  <si>
    <t xml:space="preserve">NF-100291</t>
  </si>
  <si>
    <t xml:space="preserve">CTE-0000288</t>
  </si>
  <si>
    <t xml:space="preserve">NF-100292</t>
  </si>
  <si>
    <t xml:space="preserve">CTE-0000289</t>
  </si>
  <si>
    <t xml:space="preserve">NF-100293</t>
  </si>
  <si>
    <t xml:space="preserve">CTE-0000290</t>
  </si>
  <si>
    <t xml:space="preserve">NF-100294</t>
  </si>
  <si>
    <t xml:space="preserve">CTE-0000291</t>
  </si>
  <si>
    <t xml:space="preserve">NF-100295</t>
  </si>
  <si>
    <t xml:space="preserve">CTE-0000292</t>
  </si>
  <si>
    <t xml:space="preserve">NF-100296</t>
  </si>
  <si>
    <t xml:space="preserve">CTE-0000293</t>
  </si>
  <si>
    <t xml:space="preserve">NF-100297</t>
  </si>
  <si>
    <t xml:space="preserve">CTE-0000294</t>
  </si>
  <si>
    <t xml:space="preserve">NF-100298</t>
  </si>
  <si>
    <t xml:space="preserve">CTE-0000295</t>
  </si>
  <si>
    <t xml:space="preserve">NF-100299</t>
  </si>
  <si>
    <t xml:space="preserve">CTE-0000296</t>
  </si>
  <si>
    <t xml:space="preserve">NF-100300</t>
  </si>
  <si>
    <t xml:space="preserve">CTE-0000297</t>
  </si>
  <si>
    <t xml:space="preserve">NF-100301</t>
  </si>
  <si>
    <t xml:space="preserve">CTE-0000298</t>
  </si>
  <si>
    <t xml:space="preserve">NF-100302</t>
  </si>
  <si>
    <t xml:space="preserve">CTE-0000299</t>
  </si>
  <si>
    <t xml:space="preserve">NF-100303</t>
  </si>
  <si>
    <t xml:space="preserve">CTE-0000300</t>
  </si>
  <si>
    <t xml:space="preserve">NF-100304</t>
  </si>
  <si>
    <t xml:space="preserve">CTE-0000301</t>
  </si>
  <si>
    <t xml:space="preserve">NF-100305</t>
  </si>
  <si>
    <t xml:space="preserve">CTE-0000302</t>
  </si>
  <si>
    <t xml:space="preserve">NF-100306</t>
  </si>
  <si>
    <t xml:space="preserve">CTE-0000303</t>
  </si>
  <si>
    <t xml:space="preserve">NF-100307</t>
  </si>
  <si>
    <t xml:space="preserve">CTE-0000304</t>
  </si>
  <si>
    <t xml:space="preserve">NF-100308</t>
  </si>
  <si>
    <t xml:space="preserve">CTE-0000305</t>
  </si>
  <si>
    <t xml:space="preserve">NF-100309</t>
  </si>
  <si>
    <t xml:space="preserve">CTE-0000306</t>
  </si>
  <si>
    <t xml:space="preserve">NF-100310</t>
  </si>
  <si>
    <t xml:space="preserve">CTE-0000307</t>
  </si>
  <si>
    <t xml:space="preserve">NF-100311</t>
  </si>
  <si>
    <t xml:space="preserve">CTE-0000308</t>
  </si>
  <si>
    <t xml:space="preserve">NF-100312</t>
  </si>
  <si>
    <t xml:space="preserve">CTE-0000309</t>
  </si>
  <si>
    <t xml:space="preserve">NF-100313</t>
  </si>
  <si>
    <t xml:space="preserve">CTE-0000310</t>
  </si>
  <si>
    <t xml:space="preserve">NF-100314</t>
  </si>
  <si>
    <t xml:space="preserve">CTE-0000311</t>
  </si>
  <si>
    <t xml:space="preserve">NF-100315</t>
  </si>
  <si>
    <t xml:space="preserve">CTE-0000312</t>
  </si>
  <si>
    <t xml:space="preserve">NF-100316</t>
  </si>
  <si>
    <t xml:space="preserve">CTE-0000313</t>
  </si>
  <si>
    <t xml:space="preserve">NF-100317</t>
  </si>
  <si>
    <t xml:space="preserve">CTE-0000314</t>
  </si>
  <si>
    <t xml:space="preserve">NF-100318</t>
  </si>
  <si>
    <t xml:space="preserve">CTE-0000315</t>
  </si>
  <si>
    <t xml:space="preserve">NF-100319</t>
  </si>
  <si>
    <t xml:space="preserve">CTE-0000316</t>
  </si>
  <si>
    <t xml:space="preserve">NF-100320</t>
  </si>
  <si>
    <t xml:space="preserve">CTE-0000317</t>
  </si>
  <si>
    <t xml:space="preserve">NF-100321</t>
  </si>
  <si>
    <t xml:space="preserve">CTE-0000318</t>
  </si>
  <si>
    <t xml:space="preserve">NF-100322</t>
  </si>
  <si>
    <t xml:space="preserve">CTE-0000319</t>
  </si>
  <si>
    <t xml:space="preserve">NF-100323</t>
  </si>
  <si>
    <t xml:space="preserve">CTE-0000320</t>
  </si>
  <si>
    <t xml:space="preserve">NF-100324</t>
  </si>
  <si>
    <t xml:space="preserve">CTE-0000321</t>
  </si>
  <si>
    <t xml:space="preserve">NF-100325</t>
  </si>
  <si>
    <t xml:space="preserve">CTE-0000322</t>
  </si>
  <si>
    <t xml:space="preserve">NF-100326</t>
  </si>
  <si>
    <t xml:space="preserve">CTE-0000323</t>
  </si>
  <si>
    <t xml:space="preserve">NF-100327</t>
  </si>
  <si>
    <t xml:space="preserve">CTE-0000324</t>
  </si>
  <si>
    <t xml:space="preserve">NF-100328</t>
  </si>
  <si>
    <t xml:space="preserve">CTE-0000325</t>
  </si>
  <si>
    <t xml:space="preserve">NF-100329</t>
  </si>
  <si>
    <t xml:space="preserve">CTE-0000326</t>
  </si>
  <si>
    <t xml:space="preserve">NF-100330</t>
  </si>
  <si>
    <t xml:space="preserve">CTE-0000327</t>
  </si>
  <si>
    <t xml:space="preserve">NF-100331</t>
  </si>
  <si>
    <t xml:space="preserve">CTE-0000328</t>
  </si>
  <si>
    <t xml:space="preserve">NF-100332</t>
  </si>
  <si>
    <t xml:space="preserve">CTE-0000329</t>
  </si>
  <si>
    <t xml:space="preserve">NF-100333</t>
  </si>
  <si>
    <t xml:space="preserve">CTE-0000330</t>
  </si>
  <si>
    <t xml:space="preserve">NF-100334</t>
  </si>
  <si>
    <t xml:space="preserve">CTE-0000331</t>
  </si>
  <si>
    <t xml:space="preserve">NF-100335</t>
  </si>
  <si>
    <t xml:space="preserve">CTE-0000332</t>
  </si>
  <si>
    <t xml:space="preserve">NF-100336</t>
  </si>
  <si>
    <t xml:space="preserve">CTE-0000333</t>
  </si>
  <si>
    <t xml:space="preserve">NF-100337</t>
  </si>
  <si>
    <t xml:space="preserve">CTE-0000334</t>
  </si>
  <si>
    <t xml:space="preserve">NF-100338</t>
  </si>
  <si>
    <t xml:space="preserve">CTE-0000335</t>
  </si>
  <si>
    <t xml:space="preserve">NF-100339</t>
  </si>
  <si>
    <t xml:space="preserve">CTE-0000336</t>
  </si>
  <si>
    <t xml:space="preserve">NF-100340</t>
  </si>
  <si>
    <t xml:space="preserve">CTE-0000337</t>
  </si>
  <si>
    <t xml:space="preserve">NF-100341</t>
  </si>
  <si>
    <t xml:space="preserve">CTE-0000338</t>
  </si>
  <si>
    <t xml:space="preserve">NF-100342</t>
  </si>
  <si>
    <t xml:space="preserve">CTE-0000339</t>
  </si>
  <si>
    <t xml:space="preserve">NF-100343</t>
  </si>
  <si>
    <t xml:space="preserve">CTE-0000340</t>
  </si>
  <si>
    <t xml:space="preserve">NF-100344</t>
  </si>
  <si>
    <t xml:space="preserve">CTE-0000341</t>
  </si>
  <si>
    <t xml:space="preserve">NF-100345</t>
  </si>
  <si>
    <t xml:space="preserve">CTE-0000342</t>
  </si>
  <si>
    <t xml:space="preserve">NF-100346</t>
  </si>
  <si>
    <t xml:space="preserve">CTE-0000343</t>
  </si>
  <si>
    <t xml:space="preserve">NF-100347</t>
  </si>
  <si>
    <t xml:space="preserve">CTE-0000344</t>
  </si>
  <si>
    <t xml:space="preserve">NF-100348</t>
  </si>
  <si>
    <t xml:space="preserve">CTE-0000345</t>
  </si>
  <si>
    <t xml:space="preserve">NF-100349</t>
  </si>
  <si>
    <t xml:space="preserve">CTE-0000346</t>
  </si>
  <si>
    <t xml:space="preserve">NF-100350</t>
  </si>
  <si>
    <t xml:space="preserve">CTE-0000347</t>
  </si>
  <si>
    <t xml:space="preserve">NF-100351</t>
  </si>
  <si>
    <t xml:space="preserve">CTE-0000348</t>
  </si>
  <si>
    <t xml:space="preserve">NF-100352</t>
  </si>
  <si>
    <t xml:space="preserve">CTE-0000349</t>
  </si>
  <si>
    <t xml:space="preserve">NF-100353</t>
  </si>
  <si>
    <t xml:space="preserve">CTE-0000350</t>
  </si>
  <si>
    <t xml:space="preserve">NF-100354</t>
  </si>
  <si>
    <t xml:space="preserve">CTE-0000351</t>
  </si>
  <si>
    <t xml:space="preserve">NF-100355</t>
  </si>
  <si>
    <t xml:space="preserve">CTE-0000352</t>
  </si>
  <si>
    <t xml:space="preserve">NF-100356</t>
  </si>
  <si>
    <t xml:space="preserve">CTE-0000353</t>
  </si>
  <si>
    <t xml:space="preserve">NF-100357</t>
  </si>
  <si>
    <t xml:space="preserve">CTE-0000354</t>
  </si>
  <si>
    <t xml:space="preserve">NF-100358</t>
  </si>
  <si>
    <t xml:space="preserve">CTE-0000355</t>
  </si>
  <si>
    <t xml:space="preserve">NF-100359</t>
  </si>
  <si>
    <t xml:space="preserve">CTE-0000356</t>
  </si>
  <si>
    <t xml:space="preserve">NF-100360</t>
  </si>
  <si>
    <t xml:space="preserve">CTE-0000357</t>
  </si>
  <si>
    <t xml:space="preserve">NF-100361</t>
  </si>
  <si>
    <t xml:space="preserve">CTE-0000358</t>
  </si>
  <si>
    <t xml:space="preserve">NF-100362</t>
  </si>
  <si>
    <t xml:space="preserve">CTE-0000359</t>
  </si>
  <si>
    <t xml:space="preserve">NF-100363</t>
  </si>
  <si>
    <t xml:space="preserve">CTE-0000360</t>
  </si>
  <si>
    <t xml:space="preserve">NF-100364</t>
  </si>
  <si>
    <t xml:space="preserve">CTE-0000361</t>
  </si>
  <si>
    <t xml:space="preserve">NF-100365</t>
  </si>
  <si>
    <t xml:space="preserve">CTE-0000362</t>
  </si>
  <si>
    <t xml:space="preserve">NF-100366</t>
  </si>
  <si>
    <t xml:space="preserve">CTE-0000363</t>
  </si>
  <si>
    <t xml:space="preserve">NF-100367</t>
  </si>
  <si>
    <t xml:space="preserve">CTE-0000364</t>
  </si>
  <si>
    <t xml:space="preserve">NF-100368</t>
  </si>
  <si>
    <t xml:space="preserve">CTE-0000365</t>
  </si>
  <si>
    <t xml:space="preserve">NF-100369</t>
  </si>
  <si>
    <t xml:space="preserve">CTE-0000366</t>
  </si>
  <si>
    <t xml:space="preserve">NF-100370</t>
  </si>
  <si>
    <t xml:space="preserve">CTE-0000367</t>
  </si>
  <si>
    <t xml:space="preserve">NF-100371</t>
  </si>
  <si>
    <t xml:space="preserve">CTE-0000368</t>
  </si>
  <si>
    <t xml:space="preserve">NF-100372</t>
  </si>
  <si>
    <t xml:space="preserve">CTE-0000369</t>
  </si>
  <si>
    <t xml:space="preserve">NF-100373</t>
  </si>
  <si>
    <t xml:space="preserve">CTE-0000370</t>
  </si>
  <si>
    <t xml:space="preserve">NF-100374</t>
  </si>
  <si>
    <t xml:space="preserve">CTE-0000371</t>
  </si>
  <si>
    <t xml:space="preserve">NF-100375</t>
  </si>
  <si>
    <t xml:space="preserve">CTE-0000372</t>
  </si>
  <si>
    <t xml:space="preserve">NF-100376</t>
  </si>
  <si>
    <t xml:space="preserve">CTE-0000373</t>
  </si>
  <si>
    <t xml:space="preserve">NF-100377</t>
  </si>
  <si>
    <t xml:space="preserve">CTE-0000374</t>
  </si>
  <si>
    <t xml:space="preserve">NF-100378</t>
  </si>
  <si>
    <t xml:space="preserve">CTE-0000375</t>
  </si>
  <si>
    <t xml:space="preserve">NF-100379</t>
  </si>
  <si>
    <t xml:space="preserve">NF-100380</t>
  </si>
  <si>
    <t xml:space="preserve">CTE-0000376</t>
  </si>
  <si>
    <t xml:space="preserve">NF-100381</t>
  </si>
  <si>
    <t xml:space="preserve">CTE-0000377</t>
  </si>
  <si>
    <t xml:space="preserve">NF-100382</t>
  </si>
  <si>
    <t xml:space="preserve">CTE-0000378</t>
  </si>
  <si>
    <t xml:space="preserve">NF-100383</t>
  </si>
  <si>
    <t xml:space="preserve">NF-100384</t>
  </si>
  <si>
    <t xml:space="preserve">CTE-0000379</t>
  </si>
  <si>
    <t xml:space="preserve">NF-100385</t>
  </si>
  <si>
    <t xml:space="preserve">CTE-0000380</t>
  </si>
  <si>
    <t xml:space="preserve">NF-100386</t>
  </si>
  <si>
    <t xml:space="preserve">NF-100387</t>
  </si>
  <si>
    <t xml:space="preserve">CTE-0000381</t>
  </si>
  <si>
    <t xml:space="preserve">NF-100388</t>
  </si>
  <si>
    <t xml:space="preserve">CTE-0000382</t>
  </si>
  <si>
    <t xml:space="preserve">NF-100389</t>
  </si>
  <si>
    <t xml:space="preserve">CTE-0000383</t>
  </si>
  <si>
    <t xml:space="preserve">NF-100390</t>
  </si>
  <si>
    <t xml:space="preserve">CTE-0000384</t>
  </si>
  <si>
    <t xml:space="preserve">NF-100391</t>
  </si>
  <si>
    <t xml:space="preserve">CTE-0000385</t>
  </si>
  <si>
    <t xml:space="preserve">NF-100392</t>
  </si>
  <si>
    <t xml:space="preserve">CTE-0000386</t>
  </si>
  <si>
    <t xml:space="preserve">NF-100393</t>
  </si>
  <si>
    <t xml:space="preserve">CTE-0000387</t>
  </si>
  <si>
    <t xml:space="preserve">NF-100394</t>
  </si>
  <si>
    <t xml:space="preserve">CTE-0000388</t>
  </si>
  <si>
    <t xml:space="preserve">NF-100395</t>
  </si>
  <si>
    <t xml:space="preserve">CTE-0000389</t>
  </si>
  <si>
    <t xml:space="preserve">NF-100396</t>
  </si>
  <si>
    <t xml:space="preserve">CTE-0000390</t>
  </si>
  <si>
    <t xml:space="preserve">NF-100397</t>
  </si>
  <si>
    <t xml:space="preserve">CTE-0000391</t>
  </si>
  <si>
    <t xml:space="preserve">NF-100398</t>
  </si>
  <si>
    <t xml:space="preserve">CTE-0000392</t>
  </si>
  <si>
    <t xml:space="preserve">NF-100399</t>
  </si>
  <si>
    <t xml:space="preserve">CTE-0000393</t>
  </si>
  <si>
    <t xml:space="preserve">NF-100400</t>
  </si>
  <si>
    <t xml:space="preserve">CTE-0000394</t>
  </si>
  <si>
    <t xml:space="preserve">NF-100401</t>
  </si>
  <si>
    <t xml:space="preserve">CTE-0000395</t>
  </si>
  <si>
    <t xml:space="preserve">NF-100402</t>
  </si>
  <si>
    <t xml:space="preserve">CTE-0000396</t>
  </si>
  <si>
    <t xml:space="preserve">NF-100403</t>
  </si>
  <si>
    <t xml:space="preserve">CTE-0000397</t>
  </si>
  <si>
    <t xml:space="preserve">NF-100404</t>
  </si>
  <si>
    <t xml:space="preserve">CTE-0000398</t>
  </si>
  <si>
    <t xml:space="preserve">NF-100405</t>
  </si>
  <si>
    <t xml:space="preserve">CTE-0000399</t>
  </si>
  <si>
    <t xml:space="preserve">NF-100406</t>
  </si>
  <si>
    <t xml:space="preserve">CTE-0000400</t>
  </si>
  <si>
    <t xml:space="preserve">NF-100407</t>
  </si>
  <si>
    <t xml:space="preserve">CTE-0000401</t>
  </si>
  <si>
    <t xml:space="preserve">NF-100408</t>
  </si>
  <si>
    <t xml:space="preserve">CTE-0000402</t>
  </si>
  <si>
    <t xml:space="preserve">NF-100409</t>
  </si>
  <si>
    <t xml:space="preserve">CTE-0000403</t>
  </si>
  <si>
    <t xml:space="preserve">NF-100410</t>
  </si>
  <si>
    <t xml:space="preserve">CTE-0000404</t>
  </si>
  <si>
    <t xml:space="preserve">NF-100411</t>
  </si>
  <si>
    <t xml:space="preserve">CTE-0000405</t>
  </si>
  <si>
    <t xml:space="preserve">NF-100412</t>
  </si>
  <si>
    <t xml:space="preserve">CTE-0000406</t>
  </si>
  <si>
    <t xml:space="preserve">NF-100413</t>
  </si>
  <si>
    <t xml:space="preserve">CTE-0000407</t>
  </si>
  <si>
    <t xml:space="preserve">NF-100414</t>
  </si>
  <si>
    <t xml:space="preserve">CTE-0000408</t>
  </si>
  <si>
    <t xml:space="preserve">NF-100415</t>
  </si>
  <si>
    <t xml:space="preserve">CTE-0000409</t>
  </si>
  <si>
    <t xml:space="preserve">NF-100416</t>
  </si>
  <si>
    <t xml:space="preserve">CTE-0000410</t>
  </si>
  <si>
    <t xml:space="preserve">NF-100417</t>
  </si>
  <si>
    <t xml:space="preserve">CTE-0000411</t>
  </si>
  <si>
    <t xml:space="preserve">NF-100418</t>
  </si>
  <si>
    <t xml:space="preserve">CTE-0000412</t>
  </si>
  <si>
    <t xml:space="preserve">NF-100419</t>
  </si>
  <si>
    <t xml:space="preserve">CTE-0000413</t>
  </si>
  <si>
    <t xml:space="preserve">NF-100420</t>
  </si>
  <si>
    <t xml:space="preserve">CTE-0000414</t>
  </si>
  <si>
    <t xml:space="preserve">NF-100421</t>
  </si>
  <si>
    <t xml:space="preserve">CTE-0000415</t>
  </si>
  <si>
    <t xml:space="preserve">NF-100422</t>
  </si>
  <si>
    <t xml:space="preserve">CTE-0000416</t>
  </si>
  <si>
    <t xml:space="preserve">NF-100423</t>
  </si>
  <si>
    <t xml:space="preserve">CTE-0000417</t>
  </si>
  <si>
    <t xml:space="preserve">NF-100424</t>
  </si>
  <si>
    <t xml:space="preserve">CTE-0000418</t>
  </si>
  <si>
    <t xml:space="preserve">NF-100425</t>
  </si>
  <si>
    <t xml:space="preserve">CTE-0000419</t>
  </si>
  <si>
    <t xml:space="preserve">NF-100426</t>
  </si>
  <si>
    <t xml:space="preserve">CTE-0000420</t>
  </si>
  <si>
    <t xml:space="preserve">NF-100427</t>
  </si>
  <si>
    <t xml:space="preserve">CTE-0000421</t>
  </si>
  <si>
    <t xml:space="preserve">NF-100428</t>
  </si>
  <si>
    <t xml:space="preserve">CTE-0000422</t>
  </si>
  <si>
    <t xml:space="preserve">NF-100429</t>
  </si>
  <si>
    <t xml:space="preserve">CTE-0000423</t>
  </si>
  <si>
    <t xml:space="preserve">NF-100430</t>
  </si>
  <si>
    <t xml:space="preserve">CTE-0000424</t>
  </si>
  <si>
    <t xml:space="preserve">NF-100431</t>
  </si>
  <si>
    <t xml:space="preserve">CTE-0000425</t>
  </si>
  <si>
    <t xml:space="preserve">NF-100432</t>
  </si>
  <si>
    <t xml:space="preserve">CTE-0000426</t>
  </si>
  <si>
    <t xml:space="preserve">NF-100433</t>
  </si>
  <si>
    <t xml:space="preserve">CTE-0000427</t>
  </si>
  <si>
    <t xml:space="preserve">NF-100434</t>
  </si>
  <si>
    <t xml:space="preserve">CTE-0000428</t>
  </si>
  <si>
    <t xml:space="preserve">NF-100435</t>
  </si>
  <si>
    <t xml:space="preserve">CTE-0000429</t>
  </si>
  <si>
    <t xml:space="preserve">NF-100436</t>
  </si>
  <si>
    <t xml:space="preserve">CTE-0000430</t>
  </si>
  <si>
    <t xml:space="preserve">NF-100437</t>
  </si>
  <si>
    <t xml:space="preserve">CTE-0000431</t>
  </si>
  <si>
    <t xml:space="preserve">NF-100438</t>
  </si>
  <si>
    <t xml:space="preserve">CTE-0000432</t>
  </si>
  <si>
    <t xml:space="preserve">NF-100439</t>
  </si>
  <si>
    <t xml:space="preserve">CTE-0000433</t>
  </si>
  <si>
    <t xml:space="preserve">NF-100440</t>
  </si>
  <si>
    <t xml:space="preserve">CTE-0000434</t>
  </si>
  <si>
    <t xml:space="preserve">NF-100441</t>
  </si>
  <si>
    <t xml:space="preserve">CTE-0000435</t>
  </si>
  <si>
    <t xml:space="preserve">NF-100442</t>
  </si>
  <si>
    <t xml:space="preserve">CTE-0000436</t>
  </si>
  <si>
    <t xml:space="preserve">NF-100443</t>
  </si>
  <si>
    <t xml:space="preserve">CTE-0000437</t>
  </si>
  <si>
    <t xml:space="preserve">NF-100444</t>
  </si>
  <si>
    <t xml:space="preserve">CTE-0000438</t>
  </si>
  <si>
    <t xml:space="preserve">NF-100445</t>
  </si>
  <si>
    <t xml:space="preserve">CTE-0000439</t>
  </si>
  <si>
    <t xml:space="preserve">NF-100446</t>
  </si>
  <si>
    <t xml:space="preserve">CTE-0000440</t>
  </si>
  <si>
    <t xml:space="preserve">NF-100447</t>
  </si>
  <si>
    <t xml:space="preserve">CTE-0000441</t>
  </si>
  <si>
    <t xml:space="preserve">NF-100448</t>
  </si>
  <si>
    <t xml:space="preserve">CTE-0000442</t>
  </si>
  <si>
    <t xml:space="preserve">NF-100449</t>
  </si>
  <si>
    <t xml:space="preserve">CTE-0000443</t>
  </si>
  <si>
    <t xml:space="preserve">NF-100450</t>
  </si>
  <si>
    <t xml:space="preserve">CTE-0000444</t>
  </si>
  <si>
    <t xml:space="preserve">NF-100451</t>
  </si>
  <si>
    <t xml:space="preserve">CTE-0000445</t>
  </si>
  <si>
    <t xml:space="preserve">NF-100452</t>
  </si>
  <si>
    <t xml:space="preserve">CTE-0000446</t>
  </si>
  <si>
    <t xml:space="preserve">NF-100453</t>
  </si>
  <si>
    <t xml:space="preserve">CTE-0000447</t>
  </si>
  <si>
    <t xml:space="preserve">NF-100454</t>
  </si>
  <si>
    <t xml:space="preserve">CTE-0000448</t>
  </si>
  <si>
    <t xml:space="preserve">NF-100455</t>
  </si>
  <si>
    <t xml:space="preserve">CTE-0000449</t>
  </si>
  <si>
    <t xml:space="preserve">NF-100456</t>
  </si>
  <si>
    <t xml:space="preserve">CTE-0000450</t>
  </si>
  <si>
    <t xml:space="preserve">NF-100457</t>
  </si>
  <si>
    <t xml:space="preserve">CTE-0000451</t>
  </si>
  <si>
    <t xml:space="preserve">NF-100458</t>
  </si>
  <si>
    <t xml:space="preserve">CTE-0000452</t>
  </si>
  <si>
    <t xml:space="preserve">NF-100459</t>
  </si>
  <si>
    <t xml:space="preserve">CTE-0000453</t>
  </si>
  <si>
    <t xml:space="preserve">NF-100460</t>
  </si>
  <si>
    <t xml:space="preserve">CTE-0000454</t>
  </si>
  <si>
    <t xml:space="preserve">NF-100461</t>
  </si>
  <si>
    <t xml:space="preserve">CTE-0000455</t>
  </si>
  <si>
    <t xml:space="preserve">NF-100462</t>
  </si>
  <si>
    <t xml:space="preserve">CTE-0000456</t>
  </si>
  <si>
    <t xml:space="preserve">NF-100463</t>
  </si>
  <si>
    <t xml:space="preserve">CTE-0000457</t>
  </si>
  <si>
    <t xml:space="preserve">NF-100464</t>
  </si>
  <si>
    <t xml:space="preserve">CTE-0000458</t>
  </si>
  <si>
    <t xml:space="preserve">NF-100465</t>
  </si>
  <si>
    <t xml:space="preserve">CTE-0000459</t>
  </si>
  <si>
    <t xml:space="preserve">NF-100466</t>
  </si>
  <si>
    <t xml:space="preserve">CTE-0000460</t>
  </si>
  <si>
    <t xml:space="preserve">NF-100467</t>
  </si>
  <si>
    <t xml:space="preserve">CTE-0000461</t>
  </si>
  <si>
    <t xml:space="preserve">NF-100468</t>
  </si>
  <si>
    <t xml:space="preserve">CTE-0000462</t>
  </si>
  <si>
    <t xml:space="preserve">NF-100469</t>
  </si>
  <si>
    <t xml:space="preserve">CTE-0000463</t>
  </si>
  <si>
    <t xml:space="preserve">NF-100470</t>
  </si>
  <si>
    <t xml:space="preserve">CTE-0000464</t>
  </si>
  <si>
    <t xml:space="preserve">NF-100471</t>
  </si>
  <si>
    <t xml:space="preserve">CTE-0000465</t>
  </si>
  <si>
    <t xml:space="preserve">NF-100472</t>
  </si>
  <si>
    <t xml:space="preserve">CTE-0000466</t>
  </si>
  <si>
    <t xml:space="preserve">NF-100473</t>
  </si>
  <si>
    <t xml:space="preserve">CTE-0000467</t>
  </si>
  <si>
    <t xml:space="preserve">NF-100474</t>
  </si>
  <si>
    <t xml:space="preserve">CTE-0000468</t>
  </si>
  <si>
    <t xml:space="preserve">NF-100475</t>
  </si>
  <si>
    <t xml:space="preserve">CTE-0000469</t>
  </si>
  <si>
    <t xml:space="preserve">NF-100476</t>
  </si>
  <si>
    <t xml:space="preserve">CTE-0000470</t>
  </si>
  <si>
    <t xml:space="preserve">NF-100477</t>
  </si>
  <si>
    <t xml:space="preserve">CTE-0000471</t>
  </si>
  <si>
    <t xml:space="preserve">NF-100478</t>
  </si>
  <si>
    <t xml:space="preserve">CTE-0000472</t>
  </si>
  <si>
    <t xml:space="preserve">NF-100479</t>
  </si>
  <si>
    <t xml:space="preserve">CTE-0000473</t>
  </si>
  <si>
    <t xml:space="preserve">NF-100480</t>
  </si>
  <si>
    <t xml:space="preserve">CTE-0000474</t>
  </si>
  <si>
    <t xml:space="preserve">NF-100481</t>
  </si>
  <si>
    <t xml:space="preserve">CTE-0000475</t>
  </si>
  <si>
    <t xml:space="preserve">NF-100482</t>
  </si>
  <si>
    <t xml:space="preserve">CTE-0000476</t>
  </si>
  <si>
    <t xml:space="preserve">NF-100483</t>
  </si>
  <si>
    <t xml:space="preserve">CTE-0000477</t>
  </si>
  <si>
    <t xml:space="preserve">NF-100484</t>
  </si>
  <si>
    <t xml:space="preserve">CTE-0000478</t>
  </si>
  <si>
    <t xml:space="preserve">NF-100485</t>
  </si>
  <si>
    <t xml:space="preserve">CTE-0000479</t>
  </si>
  <si>
    <t xml:space="preserve">NF-100486</t>
  </si>
  <si>
    <t xml:space="preserve">CTE-0000480</t>
  </si>
  <si>
    <t xml:space="preserve">NF-100487</t>
  </si>
  <si>
    <t xml:space="preserve">CTE-0000481</t>
  </si>
  <si>
    <t xml:space="preserve">NF-100488</t>
  </si>
  <si>
    <t xml:space="preserve">CTE-0000482</t>
  </si>
  <si>
    <t xml:space="preserve">NF-100489</t>
  </si>
  <si>
    <t xml:space="preserve">CTE-0000483</t>
  </si>
  <si>
    <t xml:space="preserve">NF-100490</t>
  </si>
  <si>
    <t xml:space="preserve">CTE-0000484</t>
  </si>
  <si>
    <t xml:space="preserve">NF-100491</t>
  </si>
  <si>
    <t xml:space="preserve">CTE-0000485</t>
  </si>
  <si>
    <t xml:space="preserve">NF-100492</t>
  </si>
  <si>
    <t xml:space="preserve">CTE-0000486</t>
  </si>
  <si>
    <t xml:space="preserve">NF-100493</t>
  </si>
  <si>
    <t xml:space="preserve">CTE-0000487</t>
  </si>
  <si>
    <t xml:space="preserve">NF-100494</t>
  </si>
  <si>
    <t xml:space="preserve">CTE-0000488</t>
  </si>
  <si>
    <t xml:space="preserve">NF-100495</t>
  </si>
  <si>
    <t xml:space="preserve">CTE-0000489</t>
  </si>
  <si>
    <t xml:space="preserve">NF-100496</t>
  </si>
  <si>
    <t xml:space="preserve">CTE-0000490</t>
  </si>
  <si>
    <t xml:space="preserve">NF-100497</t>
  </si>
  <si>
    <t xml:space="preserve">CTE-0000491</t>
  </si>
  <si>
    <t xml:space="preserve">NF-100498</t>
  </si>
  <si>
    <t xml:space="preserve">CTE-0000492</t>
  </si>
  <si>
    <t xml:space="preserve">NF-100499</t>
  </si>
  <si>
    <t xml:space="preserve">CTE-0000493</t>
  </si>
  <si>
    <t xml:space="preserve">NF-100500</t>
  </si>
  <si>
    <t xml:space="preserve">CTE-0000494</t>
  </si>
  <si>
    <t xml:space="preserve">NF-100501</t>
  </si>
  <si>
    <t xml:space="preserve">CTE-0000495</t>
  </si>
  <si>
    <t xml:space="preserve">NF-100502</t>
  </si>
  <si>
    <t xml:space="preserve">CTE-0000496</t>
  </si>
  <si>
    <t xml:space="preserve">NF-100503</t>
  </si>
  <si>
    <t xml:space="preserve">CTE-0000497</t>
  </si>
  <si>
    <t xml:space="preserve">NF-100504</t>
  </si>
  <si>
    <t xml:space="preserve">CTE-0000498</t>
  </si>
  <si>
    <t xml:space="preserve">NF-100505</t>
  </si>
  <si>
    <t xml:space="preserve">CTE-0000499</t>
  </si>
  <si>
    <t xml:space="preserve">NF-100506</t>
  </si>
  <si>
    <t xml:space="preserve">CTE-0000500</t>
  </si>
  <si>
    <t xml:space="preserve">NF-100507</t>
  </si>
  <si>
    <t xml:space="preserve">NF-100508</t>
  </si>
  <si>
    <t xml:space="preserve">CTE-0000501</t>
  </si>
  <si>
    <t xml:space="preserve">NF-100509</t>
  </si>
  <si>
    <t xml:space="preserve">CTE-0000502</t>
  </si>
  <si>
    <t xml:space="preserve">NF-100510</t>
  </si>
  <si>
    <t xml:space="preserve">CTE-0000503</t>
  </si>
  <si>
    <t xml:space="preserve">NF-100511</t>
  </si>
  <si>
    <t xml:space="preserve">CTE-0000504</t>
  </si>
  <si>
    <t xml:space="preserve">NF-100512</t>
  </si>
  <si>
    <t xml:space="preserve">CTE-0000505</t>
  </si>
  <si>
    <t xml:space="preserve">NF-100513</t>
  </si>
  <si>
    <t xml:space="preserve">CTE-0000506</t>
  </si>
  <si>
    <t xml:space="preserve">NF-100514</t>
  </si>
  <si>
    <t xml:space="preserve">CTE-0000507</t>
  </si>
  <si>
    <t xml:space="preserve">NF-100515</t>
  </si>
  <si>
    <t xml:space="preserve">CTE-0000508</t>
  </si>
  <si>
    <t xml:space="preserve">NF-100516</t>
  </si>
  <si>
    <t xml:space="preserve">CTE-0000509</t>
  </si>
  <si>
    <t xml:space="preserve">NF-100517</t>
  </si>
  <si>
    <t xml:space="preserve">CTE-0000510</t>
  </si>
  <si>
    <t xml:space="preserve">NF-100518</t>
  </si>
  <si>
    <t xml:space="preserve">CTE-0000511</t>
  </si>
  <si>
    <t xml:space="preserve">NF-100519</t>
  </si>
  <si>
    <t xml:space="preserve">CTE-0000512</t>
  </si>
  <si>
    <t xml:space="preserve">NF-100520</t>
  </si>
  <si>
    <t xml:space="preserve">CTE-0000513</t>
  </si>
  <si>
    <t xml:space="preserve">NF-100521</t>
  </si>
  <si>
    <t xml:space="preserve">NF-100522</t>
  </si>
  <si>
    <t xml:space="preserve">CTE-0000514</t>
  </si>
  <si>
    <t xml:space="preserve">NF-100523</t>
  </si>
  <si>
    <t xml:space="preserve">CTE-0000515</t>
  </si>
  <si>
    <t xml:space="preserve">NF-100524</t>
  </si>
  <si>
    <t xml:space="preserve">CTE-0000516</t>
  </si>
  <si>
    <t xml:space="preserve">NF-100525</t>
  </si>
  <si>
    <t xml:space="preserve">CTE-0000517</t>
  </si>
  <si>
    <t xml:space="preserve">NF-100526</t>
  </si>
  <si>
    <t xml:space="preserve">CTE-0000518</t>
  </si>
  <si>
    <t xml:space="preserve">NF-100527</t>
  </si>
  <si>
    <t xml:space="preserve">CTE-0000519</t>
  </si>
  <si>
    <t xml:space="preserve">NF-100528</t>
  </si>
  <si>
    <t xml:space="preserve">CTE-0000520</t>
  </si>
  <si>
    <t xml:space="preserve">NF-100529</t>
  </si>
  <si>
    <t xml:space="preserve">CTE-0000521</t>
  </si>
  <si>
    <t xml:space="preserve">NF-100530</t>
  </si>
  <si>
    <t xml:space="preserve">CTE-0000522</t>
  </si>
  <si>
    <t xml:space="preserve">NF-100531</t>
  </si>
  <si>
    <t xml:space="preserve">CTE-0000523</t>
  </si>
  <si>
    <t xml:space="preserve">NF-100532</t>
  </si>
  <si>
    <t xml:space="preserve">CTE-0000524</t>
  </si>
  <si>
    <t xml:space="preserve">NF-100533</t>
  </si>
  <si>
    <t xml:space="preserve">CTE-0000525</t>
  </si>
  <si>
    <t xml:space="preserve">NF-100534</t>
  </si>
  <si>
    <t xml:space="preserve">CTE-0000526</t>
  </si>
  <si>
    <t xml:space="preserve">NF-100535</t>
  </si>
  <si>
    <t xml:space="preserve">CTE-0000527</t>
  </si>
  <si>
    <t xml:space="preserve">NF-100536</t>
  </si>
  <si>
    <t xml:space="preserve">CTE-0000528</t>
  </si>
  <si>
    <t xml:space="preserve">NF-100537</t>
  </si>
  <si>
    <t xml:space="preserve">CTE-0000529</t>
  </si>
  <si>
    <t xml:space="preserve">NF-100538</t>
  </si>
  <si>
    <t xml:space="preserve">CTE-0000530</t>
  </si>
  <si>
    <t xml:space="preserve">NF-100539</t>
  </si>
  <si>
    <t xml:space="preserve">CTE-0000531</t>
  </si>
  <si>
    <t xml:space="preserve">NF-100540</t>
  </si>
  <si>
    <t xml:space="preserve">CTE-0000532</t>
  </si>
  <si>
    <t xml:space="preserve">NF-100541</t>
  </si>
  <si>
    <t xml:space="preserve">CTE-0000533</t>
  </si>
  <si>
    <t xml:space="preserve">NF-100542</t>
  </si>
  <si>
    <t xml:space="preserve">CTE-0000534</t>
  </si>
  <si>
    <t xml:space="preserve">NF-100543</t>
  </si>
  <si>
    <t xml:space="preserve">CTE-0000535</t>
  </si>
  <si>
    <t xml:space="preserve">NF-100544</t>
  </si>
  <si>
    <t xml:space="preserve">CTE-0000536</t>
  </si>
  <si>
    <t xml:space="preserve">NF-100545</t>
  </si>
  <si>
    <t xml:space="preserve">CTE-0000537</t>
  </si>
  <si>
    <t xml:space="preserve">NF-100546</t>
  </si>
  <si>
    <t xml:space="preserve">CTE-0000538</t>
  </si>
  <si>
    <t xml:space="preserve">NF-100547</t>
  </si>
  <si>
    <t xml:space="preserve">CTE-0000539</t>
  </si>
  <si>
    <t xml:space="preserve">NF-100548</t>
  </si>
  <si>
    <t xml:space="preserve">CTE-0000540</t>
  </si>
  <si>
    <t xml:space="preserve">NF-100549</t>
  </si>
  <si>
    <t xml:space="preserve">CTE-0000541</t>
  </si>
  <si>
    <t xml:space="preserve">NF-100550</t>
  </si>
  <si>
    <t xml:space="preserve">CTE-0000542</t>
  </si>
  <si>
    <t xml:space="preserve">NF-100551</t>
  </si>
  <si>
    <t xml:space="preserve">CTE-0000543</t>
  </si>
  <si>
    <t xml:space="preserve">NF-100552</t>
  </si>
  <si>
    <t xml:space="preserve">CTE-0000544</t>
  </si>
  <si>
    <t xml:space="preserve">NF-100553</t>
  </si>
  <si>
    <t xml:space="preserve">CTE-0000545</t>
  </si>
  <si>
    <t xml:space="preserve">NF-100554</t>
  </si>
  <si>
    <t xml:space="preserve">CTE-0000546</t>
  </si>
  <si>
    <t xml:space="preserve">NF-100555</t>
  </si>
  <si>
    <t xml:space="preserve">CTE-0000547</t>
  </si>
  <si>
    <t xml:space="preserve">NF-100556</t>
  </si>
  <si>
    <t xml:space="preserve">CTE-0000548</t>
  </si>
  <si>
    <t xml:space="preserve">NF-100557</t>
  </si>
  <si>
    <t xml:space="preserve">CTE-0000549</t>
  </si>
  <si>
    <t xml:space="preserve">NF-100558</t>
  </si>
  <si>
    <t xml:space="preserve">CTE-0000550</t>
  </si>
  <si>
    <t xml:space="preserve">NF-100559</t>
  </si>
  <si>
    <t xml:space="preserve">CTE-0000551</t>
  </si>
  <si>
    <t xml:space="preserve">NF-100560</t>
  </si>
  <si>
    <t xml:space="preserve">CTE-0000552</t>
  </si>
  <si>
    <t xml:space="preserve">NF-100561</t>
  </si>
  <si>
    <t xml:space="preserve">CTE-0000553</t>
  </si>
  <si>
    <t xml:space="preserve">NF-100562</t>
  </si>
  <si>
    <t xml:space="preserve">CTE-0000554</t>
  </si>
  <si>
    <t xml:space="preserve">NF-100563</t>
  </si>
  <si>
    <t xml:space="preserve">CTE-0000555</t>
  </si>
  <si>
    <t xml:space="preserve">NF-100564</t>
  </si>
  <si>
    <t xml:space="preserve">CTE-0000556</t>
  </si>
  <si>
    <t xml:space="preserve">NF-100565</t>
  </si>
  <si>
    <t xml:space="preserve">CTE-0000557</t>
  </si>
  <si>
    <t xml:space="preserve">NF-100566</t>
  </si>
  <si>
    <t xml:space="preserve">CTE-0000558</t>
  </si>
  <si>
    <t xml:space="preserve">NF-100567</t>
  </si>
  <si>
    <t xml:space="preserve">CTE-0000559</t>
  </si>
  <si>
    <t xml:space="preserve">NF-100568</t>
  </si>
  <si>
    <t xml:space="preserve">CTE-0000560</t>
  </si>
  <si>
    <t xml:space="preserve">NF-100569</t>
  </si>
  <si>
    <t xml:space="preserve">CTE-0000561</t>
  </si>
  <si>
    <t xml:space="preserve">NF-100570</t>
  </si>
  <si>
    <t xml:space="preserve">CTE-0000562</t>
  </si>
  <si>
    <t xml:space="preserve">NF-100571</t>
  </si>
  <si>
    <t xml:space="preserve">CTE-0000563</t>
  </si>
  <si>
    <t xml:space="preserve">NF-100572</t>
  </si>
  <si>
    <t xml:space="preserve">CTE-0000564</t>
  </si>
  <si>
    <t xml:space="preserve">NF-100573</t>
  </si>
  <si>
    <t xml:space="preserve">CTE-0000565</t>
  </si>
  <si>
    <t xml:space="preserve">NF-100574</t>
  </si>
  <si>
    <t xml:space="preserve">CTE-0000566</t>
  </si>
  <si>
    <t xml:space="preserve">NF-100575</t>
  </si>
  <si>
    <t xml:space="preserve">CTE-0000567</t>
  </si>
  <si>
    <t xml:space="preserve">NF-100576</t>
  </si>
  <si>
    <t xml:space="preserve">CTE-0000568</t>
  </si>
  <si>
    <t xml:space="preserve">NF-100577</t>
  </si>
  <si>
    <t xml:space="preserve">CTE-0000569</t>
  </si>
  <si>
    <t xml:space="preserve">NF-100578</t>
  </si>
  <si>
    <t xml:space="preserve">CTE-0000570</t>
  </si>
  <si>
    <t xml:space="preserve">NF-100579</t>
  </si>
  <si>
    <t xml:space="preserve">CTE-0000571</t>
  </si>
  <si>
    <t xml:space="preserve">NF-100580</t>
  </si>
  <si>
    <t xml:space="preserve">CTE-0000572</t>
  </si>
  <si>
    <t xml:space="preserve">NF-100581</t>
  </si>
  <si>
    <t xml:space="preserve">CTE-0000573</t>
  </si>
  <si>
    <t xml:space="preserve">NF-100582</t>
  </si>
  <si>
    <t xml:space="preserve">CTE-0000574</t>
  </si>
  <si>
    <t xml:space="preserve">NF-100583</t>
  </si>
  <si>
    <t xml:space="preserve">CTE-0000575</t>
  </si>
  <si>
    <t xml:space="preserve">NF-100584</t>
  </si>
  <si>
    <t xml:space="preserve">CTE-0000576</t>
  </si>
  <si>
    <t xml:space="preserve">NF-100585</t>
  </si>
  <si>
    <t xml:space="preserve">CTE-0000577</t>
  </si>
  <si>
    <t xml:space="preserve">NF-100586</t>
  </si>
  <si>
    <t xml:space="preserve">CTE-0000578</t>
  </si>
  <si>
    <t xml:space="preserve">NF-100587</t>
  </si>
  <si>
    <t xml:space="preserve">CTE-0000579</t>
  </si>
  <si>
    <t xml:space="preserve">NF-100588</t>
  </si>
  <si>
    <t xml:space="preserve">CTE-0000580</t>
  </si>
  <si>
    <t xml:space="preserve">NF-100589</t>
  </si>
  <si>
    <t xml:space="preserve">CTE-0000581</t>
  </si>
  <si>
    <t xml:space="preserve">NF-100590</t>
  </si>
  <si>
    <t xml:space="preserve">CTE-0000582</t>
  </si>
  <si>
    <t xml:space="preserve">NF-100591</t>
  </si>
  <si>
    <t xml:space="preserve">CTE-0000583</t>
  </si>
  <si>
    <t xml:space="preserve">NF-100592</t>
  </si>
  <si>
    <t xml:space="preserve">CTE-0000584</t>
  </si>
  <si>
    <t xml:space="preserve">NF-100593</t>
  </si>
  <si>
    <t xml:space="preserve">CTE-0000585</t>
  </si>
  <si>
    <t xml:space="preserve">NF-100594</t>
  </si>
  <si>
    <t xml:space="preserve">CTE-0000586</t>
  </si>
  <si>
    <t xml:space="preserve">NF-100595</t>
  </si>
  <si>
    <t xml:space="preserve">CTE-0000587</t>
  </si>
  <si>
    <t xml:space="preserve">NF-100596</t>
  </si>
  <si>
    <t xml:space="preserve">CTE-0000588</t>
  </si>
  <si>
    <t xml:space="preserve">NF-100597</t>
  </si>
  <si>
    <t xml:space="preserve">CTE-0000589</t>
  </si>
  <si>
    <t xml:space="preserve">NF-100598</t>
  </si>
  <si>
    <t xml:space="preserve">CTE-0000590</t>
  </si>
  <si>
    <t xml:space="preserve">NF-100599</t>
  </si>
  <si>
    <t xml:space="preserve">CTE-0000591</t>
  </si>
  <si>
    <t xml:space="preserve">NF-100600</t>
  </si>
  <si>
    <t xml:space="preserve">CTE-0000592</t>
  </si>
  <si>
    <t xml:space="preserve">NF-100601</t>
  </si>
  <si>
    <t xml:space="preserve">CTE-0000593</t>
  </si>
  <si>
    <t xml:space="preserve">NF-100602</t>
  </si>
  <si>
    <t xml:space="preserve">CTE-0000594</t>
  </si>
  <si>
    <t xml:space="preserve">NF-100603</t>
  </si>
  <si>
    <t xml:space="preserve">CTE-0000595</t>
  </si>
  <si>
    <t xml:space="preserve">NF-100604</t>
  </si>
  <si>
    <t xml:space="preserve">CTE-0000596</t>
  </si>
  <si>
    <t xml:space="preserve">NF-100605</t>
  </si>
  <si>
    <t xml:space="preserve">CTE-0000597</t>
  </si>
  <si>
    <t xml:space="preserve">NF-100606</t>
  </si>
  <si>
    <t xml:space="preserve">CTE-0000598</t>
  </si>
  <si>
    <t xml:space="preserve">NF-100607</t>
  </si>
  <si>
    <t xml:space="preserve">CTE-0000599</t>
  </si>
  <si>
    <t xml:space="preserve">NF-100608</t>
  </si>
  <si>
    <t xml:space="preserve">CTE-0000600</t>
  </si>
  <si>
    <t xml:space="preserve">NF-100609</t>
  </si>
  <si>
    <t xml:space="preserve">CTE-0000601</t>
  </si>
  <si>
    <t xml:space="preserve">NF-100610</t>
  </si>
  <si>
    <t xml:space="preserve">CTE-0000602</t>
  </si>
  <si>
    <t xml:space="preserve">NF-100611</t>
  </si>
  <si>
    <t xml:space="preserve">CTE-0000603</t>
  </si>
  <si>
    <t xml:space="preserve">NF-100612</t>
  </si>
  <si>
    <t xml:space="preserve">CTE-0000604</t>
  </si>
  <si>
    <t xml:space="preserve">NF-100613</t>
  </si>
  <si>
    <t xml:space="preserve">CTE-0000605</t>
  </si>
  <si>
    <t xml:space="preserve">NF-100614</t>
  </si>
  <si>
    <t xml:space="preserve">CTE-0000606</t>
  </si>
  <si>
    <t xml:space="preserve">NF-100615</t>
  </si>
  <si>
    <t xml:space="preserve">CTE-0000607</t>
  </si>
  <si>
    <t xml:space="preserve">NF-100616</t>
  </si>
  <si>
    <t xml:space="preserve">CTE-0000608</t>
  </si>
  <si>
    <t xml:space="preserve">NF-100617</t>
  </si>
  <si>
    <t xml:space="preserve">CTE-0000609</t>
  </si>
  <si>
    <t xml:space="preserve">NF-100618</t>
  </si>
  <si>
    <t xml:space="preserve">CTE-0000610</t>
  </si>
  <si>
    <t xml:space="preserve">NF-100619</t>
  </si>
  <si>
    <t xml:space="preserve">CTE-0000611</t>
  </si>
  <si>
    <t xml:space="preserve">NF-100620</t>
  </si>
  <si>
    <t xml:space="preserve">CTE-0000612</t>
  </si>
  <si>
    <t xml:space="preserve">Qtd. faturas</t>
  </si>
  <si>
    <t xml:space="preserve">Total cobrado (R$)</t>
  </si>
  <si>
    <t xml:space="preserve">Valor a mais (R$)</t>
  </si>
  <si>
    <t xml:space="preserve">NF-100501 | NF-100507</t>
  </si>
  <si>
    <t xml:space="preserve">NF-100381 | NF-100383</t>
  </si>
  <si>
    <t xml:space="preserve">NF-100513 | NF-100521</t>
  </si>
  <si>
    <t xml:space="preserve">NF-100125 | NF-100138</t>
  </si>
  <si>
    <t xml:space="preserve">NF-100102 | NF-100110</t>
  </si>
  <si>
    <t xml:space="preserve">NF-100375 | NF-100386</t>
  </si>
  <si>
    <t xml:space="preserve">NF-100022 | NF-100029</t>
  </si>
  <si>
    <t xml:space="preserve">NF-100368 | NF-100379</t>
  </si>
  <si>
    <t xml:space="preserve">Fonte: view vw_duplicidades (sql/02_auditoria.sql). 'Valor a mais' = total cobrado menos uma cobrança.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</si>
</sst>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;[RED]&quot;-R$ &quot;#,##0.00;\-"/>
    <numFmt numFmtId="166" formatCode="#,##0"/>
    <numFmt numFmtId="167" formatCode="0.00%"/>
    <numFmt numFmtId="168" formatCode="0.0%"/>
    <numFmt numFmtId="169" formatCode="dd/mm/yyyy"/>
    <numFmt numFmtId="170" formatCode="#,##0.0"/>
    <numFmt numFmtId="171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n">
        <v>1</v>
      </c>
      <c r="C4" s="3" t="s">
        <v>3</v>
      </c>
    </row>
    <row r="6" customFormat="false" ht="15" hidden="false" customHeight="false" outlineLevel="0" collapsed="false">
      <c r="A6" s="6" t="s">
        <v>4</v>
      </c>
      <c r="B6" s="6" t="s">
        <v>5</v>
      </c>
    </row>
    <row r="7" customFormat="false" ht="15" hidden="false" customHeight="false" outlineLevel="0" collapsed="false">
      <c r="A7" s="7" t="s">
        <v>6</v>
      </c>
      <c r="B7" s="8" t="n">
        <f aca="false">COUNTA(Detalhe!$A$2:$A$621)</f>
        <v>620</v>
      </c>
    </row>
    <row r="8" customFormat="false" ht="15" hidden="false" customHeight="false" outlineLevel="0" collapsed="false">
      <c r="A8" s="7" t="s">
        <v>7</v>
      </c>
      <c r="B8" s="8" t="n">
        <f aca="false">COUNTIF(Detalhe!$P$2:$P$621,"ACIMA DA TABELA")</f>
        <v>104</v>
      </c>
    </row>
    <row r="9" customFormat="false" ht="15" hidden="false" customHeight="false" outlineLevel="0" collapsed="false">
      <c r="A9" s="7" t="s">
        <v>8</v>
      </c>
      <c r="B9" s="9" t="n">
        <f aca="false">SUMIFS(Detalhe!$N$2:$N$621,Detalhe!$P$2:$P$621,"ACIMA DA TABELA")</f>
        <v>20246.94</v>
      </c>
    </row>
    <row r="10" customFormat="false" ht="15" hidden="false" customHeight="false" outlineLevel="0" collapsed="false">
      <c r="A10" s="7" t="s">
        <v>9</v>
      </c>
      <c r="B10" s="10" t="n">
        <f aca="false">B9/SUM(Detalhe!$M$2:$M$621)</f>
        <v>0.028320365308198</v>
      </c>
    </row>
    <row r="11" customFormat="false" ht="15" hidden="false" customHeight="false" outlineLevel="0" collapsed="false">
      <c r="A11" s="7" t="s">
        <v>10</v>
      </c>
      <c r="B11" s="8" t="n">
        <f aca="false">COUNTIF(Detalhe!$P$2:$P$621,"SEM TARIFA NO CONTRATO")</f>
        <v>12</v>
      </c>
    </row>
    <row r="12" customFormat="false" ht="15" hidden="false" customHeight="false" outlineLevel="0" collapsed="false">
      <c r="A12" s="7" t="s">
        <v>11</v>
      </c>
      <c r="B12" s="9" t="n">
        <f aca="false">SUMIFS(Detalhe!$L$2:$L$621,Detalhe!$P$2:$P$621,"SEM TARIFA NO CONTRATO")</f>
        <v>22716.45</v>
      </c>
    </row>
    <row r="13" customFormat="false" ht="15" hidden="false" customHeight="false" outlineLevel="0" collapsed="false">
      <c r="A13" s="7" t="s">
        <v>12</v>
      </c>
      <c r="B13" s="9" t="n">
        <f aca="false">SUM(Duplicidades!$F$2:$F$9)</f>
        <v>6466.16</v>
      </c>
    </row>
    <row r="14" customFormat="false" ht="15" hidden="false" customHeight="false" outlineLevel="0" collapsed="false">
      <c r="A14" s="7" t="s">
        <v>13</v>
      </c>
      <c r="B14" s="9" t="n">
        <f aca="false">B9+B13</f>
        <v>26713.1</v>
      </c>
    </row>
    <row r="15" customFormat="false" ht="15" hidden="false" customHeight="false" outlineLevel="0" collapsed="false">
      <c r="A15" s="3" t="s">
        <v>14</v>
      </c>
    </row>
    <row r="17" customFormat="false" ht="15" hidden="false" customHeight="false" outlineLevel="0" collapsed="false">
      <c r="A17" s="4" t="s">
        <v>15</v>
      </c>
    </row>
    <row r="18" customFormat="false" ht="15" hidden="false" customHeight="false" outlineLevel="0" collapsed="false">
      <c r="A18" s="6" t="s">
        <v>16</v>
      </c>
      <c r="B18" s="6" t="s">
        <v>17</v>
      </c>
      <c r="C18" s="6" t="s">
        <v>18</v>
      </c>
      <c r="D18" s="6" t="s">
        <v>19</v>
      </c>
      <c r="E18" s="6" t="s">
        <v>20</v>
      </c>
    </row>
    <row r="19" customFormat="false" ht="15" hidden="false" customHeight="false" outlineLevel="0" collapsed="false">
      <c r="A19" s="11" t="s">
        <v>21</v>
      </c>
      <c r="B19" s="11" t="n">
        <f aca="false">COUNTIFS(Detalhe!$C$2:$C$621,A19,Detalhe!$P$2:$P$621,"&lt;&gt;SEM TARIFA NO CONTRATO")</f>
        <v>138</v>
      </c>
      <c r="C19" s="11" t="n">
        <f aca="false">COUNTIFS(Detalhe!$C$2:$C$621,A19,Detalhe!$P$2:$P$621,"ACIMA DA TABELA")</f>
        <v>43</v>
      </c>
      <c r="D19" s="12" t="n">
        <f aca="false">IF(B19=0,0,C19/B19)</f>
        <v>0.311594202898551</v>
      </c>
      <c r="E19" s="13" t="n">
        <f aca="false">SUMIFS(Detalhe!$N$2:$N$621,Detalhe!$C$2:$C$621,A19,Detalhe!$P$2:$P$621,"ACIMA DA TABELA")</f>
        <v>11304.31</v>
      </c>
    </row>
    <row r="20" customFormat="false" ht="15" hidden="false" customHeight="false" outlineLevel="0" collapsed="false">
      <c r="A20" s="11" t="s">
        <v>22</v>
      </c>
      <c r="B20" s="11" t="n">
        <f aca="false">COUNTIFS(Detalhe!$C$2:$C$621,A20,Detalhe!$P$2:$P$621,"&lt;&gt;SEM TARIFA NO CONTRATO")</f>
        <v>79</v>
      </c>
      <c r="C20" s="11" t="n">
        <f aca="false">COUNTIFS(Detalhe!$C$2:$C$621,A20,Detalhe!$P$2:$P$621,"ACIMA DA TABELA")</f>
        <v>37</v>
      </c>
      <c r="D20" s="12" t="n">
        <f aca="false">IF(B20=0,0,C20/B20)</f>
        <v>0.468354430379747</v>
      </c>
      <c r="E20" s="13" t="n">
        <f aca="false">SUMIFS(Detalhe!$N$2:$N$621,Detalhe!$C$2:$C$621,A20,Detalhe!$P$2:$P$621,"ACIMA DA TABELA")</f>
        <v>7294.88</v>
      </c>
    </row>
    <row r="21" customFormat="false" ht="15" hidden="false" customHeight="false" outlineLevel="0" collapsed="false">
      <c r="A21" s="11" t="s">
        <v>23</v>
      </c>
      <c r="B21" s="11" t="n">
        <f aca="false">COUNTIFS(Detalhe!$C$2:$C$621,A21,Detalhe!$P$2:$P$621,"&lt;&gt;SEM TARIFA NO CONTRATO")</f>
        <v>72</v>
      </c>
      <c r="C21" s="11" t="n">
        <f aca="false">COUNTIFS(Detalhe!$C$2:$C$621,A21,Detalhe!$P$2:$P$621,"ACIMA DA TABELA")</f>
        <v>6</v>
      </c>
      <c r="D21" s="12" t="n">
        <f aca="false">IF(B21=0,0,C21/B21)</f>
        <v>0.0833333333333333</v>
      </c>
      <c r="E21" s="13" t="n">
        <f aca="false">SUMIFS(Detalhe!$N$2:$N$621,Detalhe!$C$2:$C$621,A21,Detalhe!$P$2:$P$621,"ACIMA DA TABELA")</f>
        <v>781.46</v>
      </c>
    </row>
    <row r="22" customFormat="false" ht="15" hidden="false" customHeight="false" outlineLevel="0" collapsed="false">
      <c r="A22" s="11" t="s">
        <v>24</v>
      </c>
      <c r="B22" s="11" t="n">
        <f aca="false">COUNTIFS(Detalhe!$C$2:$C$621,A22,Detalhe!$P$2:$P$621,"&lt;&gt;SEM TARIFA NO CONTRATO")</f>
        <v>164</v>
      </c>
      <c r="C22" s="11" t="n">
        <f aca="false">COUNTIFS(Detalhe!$C$2:$C$621,A22,Detalhe!$P$2:$P$621,"ACIMA DA TABELA")</f>
        <v>9</v>
      </c>
      <c r="D22" s="12" t="n">
        <f aca="false">IF(B22=0,0,C22/B22)</f>
        <v>0.0548780487804878</v>
      </c>
      <c r="E22" s="13" t="n">
        <f aca="false">SUMIFS(Detalhe!$N$2:$N$621,Detalhe!$C$2:$C$621,A22,Detalhe!$P$2:$P$621,"ACIMA DA TABELA")</f>
        <v>451.04</v>
      </c>
    </row>
    <row r="23" customFormat="false" ht="15" hidden="false" customHeight="false" outlineLevel="0" collapsed="false">
      <c r="A23" s="11" t="s">
        <v>25</v>
      </c>
      <c r="B23" s="11" t="n">
        <f aca="false">COUNTIFS(Detalhe!$C$2:$C$621,A23,Detalhe!$P$2:$P$621,"&lt;&gt;SEM TARIFA NO CONTRATO")</f>
        <v>155</v>
      </c>
      <c r="C23" s="11" t="n">
        <f aca="false">COUNTIFS(Detalhe!$C$2:$C$621,A23,Detalhe!$P$2:$P$621,"ACIMA DA TABELA")</f>
        <v>9</v>
      </c>
      <c r="D23" s="12" t="n">
        <f aca="false">IF(B23=0,0,C23/B23)</f>
        <v>0.0580645161290323</v>
      </c>
      <c r="E23" s="13" t="n">
        <f aca="false">SUMIFS(Detalhe!$N$2:$N$621,Detalhe!$C$2:$C$621,A23,Detalhe!$P$2:$P$621,"ACIMA DA TABELA")</f>
        <v>415.25</v>
      </c>
    </row>
    <row r="25" customFormat="false" ht="15" hidden="false" customHeight="false" outlineLevel="0" collapsed="false">
      <c r="A25" s="4" t="s">
        <v>26</v>
      </c>
    </row>
    <row r="26" customFormat="false" ht="15" hidden="false" customHeight="false" outlineLevel="0" collapsed="false">
      <c r="A26" s="6" t="s">
        <v>27</v>
      </c>
      <c r="B26" s="6" t="s">
        <v>17</v>
      </c>
      <c r="C26" s="6" t="s">
        <v>18</v>
      </c>
      <c r="D26" s="6" t="s">
        <v>20</v>
      </c>
    </row>
    <row r="27" customFormat="false" ht="15" hidden="false" customHeight="false" outlineLevel="0" collapsed="false">
      <c r="A27" s="11" t="n">
        <v>1</v>
      </c>
      <c r="B27" s="11" t="n">
        <f aca="false">COUNTIFS(Detalhe!$E$2:$E$621,A27,Detalhe!$P$2:$P$621,"&lt;&gt;SEM TARIFA NO CONTRATO")</f>
        <v>60</v>
      </c>
      <c r="C27" s="11" t="n">
        <f aca="false">COUNTIFS(Detalhe!$E$2:$E$621,A27,Detalhe!$P$2:$P$621,"ACIMA DA TABELA")</f>
        <v>9</v>
      </c>
      <c r="D27" s="13" t="n">
        <f aca="false">SUMIFS(Detalhe!$N$2:$N$621,Detalhe!$E$2:$E$621,A27,Detalhe!$P$2:$P$621,"ACIMA DA TABELA")</f>
        <v>2324.66</v>
      </c>
    </row>
    <row r="28" customFormat="false" ht="15" hidden="false" customHeight="false" outlineLevel="0" collapsed="false">
      <c r="A28" s="11" t="n">
        <v>2</v>
      </c>
      <c r="B28" s="11" t="n">
        <f aca="false">COUNTIFS(Detalhe!$E$2:$E$621,A28,Detalhe!$P$2:$P$621,"&lt;&gt;SEM TARIFA NO CONTRATO")</f>
        <v>47</v>
      </c>
      <c r="C28" s="11" t="n">
        <f aca="false">COUNTIFS(Detalhe!$E$2:$E$621,A28,Detalhe!$P$2:$P$621,"ACIMA DA TABELA")</f>
        <v>8</v>
      </c>
      <c r="D28" s="13" t="n">
        <f aca="false">SUMIFS(Detalhe!$N$2:$N$621,Detalhe!$E$2:$E$621,A28,Detalhe!$P$2:$P$621,"ACIMA DA TABELA")</f>
        <v>1083.75</v>
      </c>
    </row>
    <row r="29" customFormat="false" ht="15" hidden="false" customHeight="false" outlineLevel="0" collapsed="false">
      <c r="A29" s="11" t="n">
        <v>3</v>
      </c>
      <c r="B29" s="11" t="n">
        <f aca="false">COUNTIFS(Detalhe!$E$2:$E$621,A29,Detalhe!$P$2:$P$621,"&lt;&gt;SEM TARIFA NO CONTRATO")</f>
        <v>88</v>
      </c>
      <c r="C29" s="11" t="n">
        <f aca="false">COUNTIFS(Detalhe!$E$2:$E$621,A29,Detalhe!$P$2:$P$621,"ACIMA DA TABELA")</f>
        <v>13</v>
      </c>
      <c r="D29" s="13" t="n">
        <f aca="false">SUMIFS(Detalhe!$N$2:$N$621,Detalhe!$E$2:$E$621,A29,Detalhe!$P$2:$P$621,"ACIMA DA TABELA")</f>
        <v>2105.87</v>
      </c>
    </row>
    <row r="30" customFormat="false" ht="15" hidden="false" customHeight="false" outlineLevel="0" collapsed="false">
      <c r="A30" s="11" t="n">
        <v>4</v>
      </c>
      <c r="B30" s="11" t="n">
        <f aca="false">COUNTIFS(Detalhe!$E$2:$E$621,A30,Detalhe!$P$2:$P$621,"&lt;&gt;SEM TARIFA NO CONTRATO")</f>
        <v>67</v>
      </c>
      <c r="C30" s="11" t="n">
        <f aca="false">COUNTIFS(Detalhe!$E$2:$E$621,A30,Detalhe!$P$2:$P$621,"ACIMA DA TABELA")</f>
        <v>7</v>
      </c>
      <c r="D30" s="13" t="n">
        <f aca="false">SUMIFS(Detalhe!$N$2:$N$621,Detalhe!$E$2:$E$621,A30,Detalhe!$P$2:$P$621,"ACIMA DA TABELA")</f>
        <v>1084.08</v>
      </c>
    </row>
    <row r="31" customFormat="false" ht="15" hidden="false" customHeight="false" outlineLevel="0" collapsed="false">
      <c r="A31" s="11" t="n">
        <v>5</v>
      </c>
      <c r="B31" s="11" t="n">
        <f aca="false">COUNTIFS(Detalhe!$E$2:$E$621,A31,Detalhe!$P$2:$P$621,"&lt;&gt;SEM TARIFA NO CONTRATO")</f>
        <v>79</v>
      </c>
      <c r="C31" s="11" t="n">
        <f aca="false">COUNTIFS(Detalhe!$E$2:$E$621,A31,Detalhe!$P$2:$P$621,"ACIMA DA TABELA")</f>
        <v>15</v>
      </c>
      <c r="D31" s="13" t="n">
        <f aca="false">SUMIFS(Detalhe!$N$2:$N$621,Detalhe!$E$2:$E$621,A31,Detalhe!$P$2:$P$621,"ACIMA DA TABELA")</f>
        <v>2663.86</v>
      </c>
    </row>
    <row r="32" customFormat="false" ht="15" hidden="false" customHeight="false" outlineLevel="0" collapsed="false">
      <c r="A32" s="11" t="n">
        <v>6</v>
      </c>
      <c r="B32" s="11" t="n">
        <f aca="false">COUNTIFS(Detalhe!$E$2:$E$621,A32,Detalhe!$P$2:$P$621,"&lt;&gt;SEM TARIFA NO CONTRATO")</f>
        <v>76</v>
      </c>
      <c r="C32" s="11" t="n">
        <f aca="false">COUNTIFS(Detalhe!$E$2:$E$621,A32,Detalhe!$P$2:$P$621,"ACIMA DA TABELA")</f>
        <v>12</v>
      </c>
      <c r="D32" s="13" t="n">
        <f aca="false">SUMIFS(Detalhe!$N$2:$N$621,Detalhe!$E$2:$E$621,A32,Detalhe!$P$2:$P$621,"ACIMA DA TABELA")</f>
        <v>4207.7</v>
      </c>
    </row>
    <row r="33" customFormat="false" ht="15" hidden="false" customHeight="false" outlineLevel="0" collapsed="false">
      <c r="A33" s="11" t="n">
        <v>7</v>
      </c>
      <c r="B33" s="11" t="n">
        <f aca="false">COUNTIFS(Detalhe!$E$2:$E$621,A33,Detalhe!$P$2:$P$621,"&lt;&gt;SEM TARIFA NO CONTRATO")</f>
        <v>71</v>
      </c>
      <c r="C33" s="11" t="n">
        <f aca="false">COUNTIFS(Detalhe!$E$2:$E$621,A33,Detalhe!$P$2:$P$621,"ACIMA DA TABELA")</f>
        <v>14</v>
      </c>
      <c r="D33" s="13" t="n">
        <f aca="false">SUMIFS(Detalhe!$N$2:$N$621,Detalhe!$E$2:$E$621,A33,Detalhe!$P$2:$P$621,"ACIMA DA TABELA")</f>
        <v>3284.15</v>
      </c>
    </row>
    <row r="34" customFormat="false" ht="15" hidden="false" customHeight="false" outlineLevel="0" collapsed="false">
      <c r="A34" s="11" t="n">
        <v>8</v>
      </c>
      <c r="B34" s="11" t="n">
        <f aca="false">COUNTIFS(Detalhe!$E$2:$E$621,A34,Detalhe!$P$2:$P$621,"&lt;&gt;SEM TARIFA NO CONTRATO")</f>
        <v>66</v>
      </c>
      <c r="C34" s="11" t="n">
        <f aca="false">COUNTIFS(Detalhe!$E$2:$E$621,A34,Detalhe!$P$2:$P$621,"ACIMA DA TABELA")</f>
        <v>17</v>
      </c>
      <c r="D34" s="13" t="n">
        <f aca="false">SUMIFS(Detalhe!$N$2:$N$621,Detalhe!$E$2:$E$621,A34,Detalhe!$P$2:$P$621,"ACIMA DA TABELA")</f>
        <v>2723.8</v>
      </c>
    </row>
    <row r="35" customFormat="false" ht="15" hidden="false" customHeight="false" outlineLevel="0" collapsed="false">
      <c r="A35" s="11" t="n">
        <v>9</v>
      </c>
      <c r="B35" s="11" t="n">
        <f aca="false">COUNTIFS(Detalhe!$E$2:$E$621,A35,Detalhe!$P$2:$P$621,"&lt;&gt;SEM TARIFA NO CONTRATO")</f>
        <v>54</v>
      </c>
      <c r="C35" s="11" t="n">
        <f aca="false">COUNTIFS(Detalhe!$E$2:$E$621,A35,Detalhe!$P$2:$P$621,"ACIMA DA TABELA")</f>
        <v>9</v>
      </c>
      <c r="D35" s="13" t="n">
        <f aca="false">SUMIFS(Detalhe!$N$2:$N$621,Detalhe!$E$2:$E$621,A35,Detalhe!$P$2:$P$621,"ACIMA DA TABELA")</f>
        <v>769.07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7"/>
    <col collapsed="false" customWidth="true" hidden="false" outlineLevel="0" max="8" min="7" style="1" width="20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6"/>
    <col collapsed="false" customWidth="true" hidden="false" outlineLevel="0" max="14" min="14" style="1" width="15"/>
    <col collapsed="false" customWidth="true" hidden="false" outlineLevel="0" max="15" min="15" style="1" width="12"/>
    <col collapsed="false" customWidth="true" hidden="false" outlineLevel="0" max="16" min="16" style="1" width="26"/>
  </cols>
  <sheetData>
    <row r="1" customFormat="false" ht="31.5" hidden="false" customHeight="true" outlineLevel="0" collapsed="false">
      <c r="A1" s="6" t="s">
        <v>28</v>
      </c>
      <c r="B1" s="6" t="s">
        <v>29</v>
      </c>
      <c r="C1" s="6" t="s">
        <v>16</v>
      </c>
      <c r="D1" s="6" t="s">
        <v>30</v>
      </c>
      <c r="E1" s="6" t="s">
        <v>27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</row>
    <row r="2" customFormat="false" ht="15" hidden="false" customHeight="false" outlineLevel="0" collapsed="false">
      <c r="A2" s="14" t="s">
        <v>42</v>
      </c>
      <c r="B2" s="14" t="s">
        <v>43</v>
      </c>
      <c r="C2" s="14" t="s">
        <v>24</v>
      </c>
      <c r="D2" s="15" t="n">
        <v>46023</v>
      </c>
      <c r="E2" s="14" t="n">
        <f aca="false">MONTH(D2)</f>
        <v>1</v>
      </c>
      <c r="F2" s="14" t="s">
        <v>44</v>
      </c>
      <c r="G2" s="14" t="s">
        <v>45</v>
      </c>
      <c r="H2" s="14" t="s">
        <v>46</v>
      </c>
      <c r="I2" s="16" t="n">
        <v>3648.4</v>
      </c>
      <c r="J2" s="17" t="n">
        <v>0.856</v>
      </c>
      <c r="K2" s="18" t="n">
        <v>109.2</v>
      </c>
      <c r="L2" s="18" t="n">
        <v>3123.4</v>
      </c>
      <c r="M2" s="18" t="n">
        <f aca="false">IF(J2="","",ROUND(MAX(I2*J2,K2),2))</f>
        <v>3123.03</v>
      </c>
      <c r="N2" s="18" t="n">
        <f aca="false">IF(M2="","",ROUND(L2-M2,2))</f>
        <v>0.37</v>
      </c>
      <c r="O2" s="19" t="n">
        <f aca="false">IF(M2="","",N2/M2)</f>
        <v>0.000118474686442333</v>
      </c>
      <c r="P2" s="14" t="str">
        <f aca="false">IF(M2="","SEM TARIFA NO CONTRATO",IF(N2&gt;Resumo!$B$4,"ACIMA DA TABELA",IF(N2&lt;-Resumo!$B$4,"ABAIXO DA TABELA","OK")))</f>
        <v>OK</v>
      </c>
    </row>
    <row r="3" customFormat="false" ht="15" hidden="false" customHeight="false" outlineLevel="0" collapsed="false">
      <c r="A3" s="14" t="s">
        <v>47</v>
      </c>
      <c r="B3" s="14" t="s">
        <v>48</v>
      </c>
      <c r="C3" s="14" t="s">
        <v>21</v>
      </c>
      <c r="D3" s="15" t="n">
        <v>46023</v>
      </c>
      <c r="E3" s="14" t="n">
        <f aca="false">MONTH(D3)</f>
        <v>1</v>
      </c>
      <c r="F3" s="14" t="s">
        <v>49</v>
      </c>
      <c r="G3" s="14" t="s">
        <v>50</v>
      </c>
      <c r="H3" s="14" t="s">
        <v>51</v>
      </c>
      <c r="I3" s="16" t="n">
        <v>798</v>
      </c>
      <c r="J3" s="17" t="n">
        <v>4.884</v>
      </c>
      <c r="K3" s="18" t="n">
        <v>415.8</v>
      </c>
      <c r="L3" s="18" t="n">
        <v>4383.72</v>
      </c>
      <c r="M3" s="18" t="n">
        <f aca="false">IF(J3="","",ROUND(MAX(I3*J3,K3),2))</f>
        <v>3897.43</v>
      </c>
      <c r="N3" s="18" t="n">
        <f aca="false">IF(M3="","",ROUND(L3-M3,2))</f>
        <v>486.29</v>
      </c>
      <c r="O3" s="19" t="n">
        <f aca="false">IF(M3="","",N3/M3)</f>
        <v>0.124771965115474</v>
      </c>
      <c r="P3" s="14" t="str">
        <f aca="false">IF(M3="","SEM TARIFA NO CONTRATO",IF(N3&gt;Resumo!$B$4,"ACIMA DA TABELA",IF(N3&lt;-Resumo!$B$4,"ABAIXO DA TABELA","OK")))</f>
        <v>ACIMA DA TABELA</v>
      </c>
    </row>
    <row r="4" customFormat="false" ht="15" hidden="false" customHeight="false" outlineLevel="0" collapsed="false">
      <c r="A4" s="14" t="s">
        <v>52</v>
      </c>
      <c r="B4" s="14" t="s">
        <v>53</v>
      </c>
      <c r="C4" s="14" t="s">
        <v>25</v>
      </c>
      <c r="D4" s="15" t="n">
        <v>46023</v>
      </c>
      <c r="E4" s="14" t="n">
        <f aca="false">MONTH(D4)</f>
        <v>1</v>
      </c>
      <c r="F4" s="14" t="s">
        <v>44</v>
      </c>
      <c r="G4" s="14" t="s">
        <v>45</v>
      </c>
      <c r="H4" s="14" t="s">
        <v>46</v>
      </c>
      <c r="I4" s="16" t="n">
        <v>277</v>
      </c>
      <c r="J4" s="17" t="n">
        <v>0.8132</v>
      </c>
      <c r="K4" s="18" t="n">
        <v>103.74</v>
      </c>
      <c r="L4" s="18" t="n">
        <v>225.39</v>
      </c>
      <c r="M4" s="18" t="n">
        <f aca="false">IF(J4="","",ROUND(MAX(I4*J4,K4),2))</f>
        <v>225.26</v>
      </c>
      <c r="N4" s="18" t="n">
        <f aca="false">IF(M4="","",ROUND(L4-M4,2))</f>
        <v>0.13</v>
      </c>
      <c r="O4" s="19" t="n">
        <f aca="false">IF(M4="","",N4/M4)</f>
        <v>0.000577110894077954</v>
      </c>
      <c r="P4" s="14" t="str">
        <f aca="false">IF(M4="","SEM TARIFA NO CONTRATO",IF(N4&gt;Resumo!$B$4,"ACIMA DA TABELA",IF(N4&lt;-Resumo!$B$4,"ABAIXO DA TABELA","OK")))</f>
        <v>OK</v>
      </c>
    </row>
    <row r="5" customFormat="false" ht="15" hidden="false" customHeight="false" outlineLevel="0" collapsed="false">
      <c r="A5" s="14" t="s">
        <v>54</v>
      </c>
      <c r="B5" s="14" t="s">
        <v>55</v>
      </c>
      <c r="C5" s="14" t="s">
        <v>25</v>
      </c>
      <c r="D5" s="15" t="n">
        <v>46024</v>
      </c>
      <c r="E5" s="14" t="n">
        <f aca="false">MONTH(D5)</f>
        <v>1</v>
      </c>
      <c r="F5" s="14" t="s">
        <v>56</v>
      </c>
      <c r="G5" s="14" t="s">
        <v>50</v>
      </c>
      <c r="H5" s="14" t="s">
        <v>45</v>
      </c>
      <c r="I5" s="16" t="n">
        <v>237.1</v>
      </c>
      <c r="J5" s="17" t="n">
        <v>0.8132</v>
      </c>
      <c r="K5" s="18" t="n">
        <v>103.74</v>
      </c>
      <c r="L5" s="18" t="n">
        <v>192.55</v>
      </c>
      <c r="M5" s="18" t="n">
        <f aca="false">IF(J5="","",ROUND(MAX(I5*J5,K5),2))</f>
        <v>192.81</v>
      </c>
      <c r="N5" s="18" t="n">
        <f aca="false">IF(M5="","",ROUND(L5-M5,2))</f>
        <v>-0.26</v>
      </c>
      <c r="O5" s="19" t="n">
        <f aca="false">IF(M5="","",N5/M5)</f>
        <v>-0.00134847777604896</v>
      </c>
      <c r="P5" s="14" t="str">
        <f aca="false">IF(M5="","SEM TARIFA NO CONTRATO",IF(N5&gt;Resumo!$B$4,"ACIMA DA TABELA",IF(N5&lt;-Resumo!$B$4,"ABAIXO DA TABELA","OK")))</f>
        <v>OK</v>
      </c>
    </row>
    <row r="6" customFormat="false" ht="15" hidden="false" customHeight="false" outlineLevel="0" collapsed="false">
      <c r="A6" s="14" t="s">
        <v>57</v>
      </c>
      <c r="B6" s="14" t="s">
        <v>58</v>
      </c>
      <c r="C6" s="14" t="s">
        <v>22</v>
      </c>
      <c r="D6" s="15" t="n">
        <v>46024</v>
      </c>
      <c r="E6" s="14" t="n">
        <f aca="false">MONTH(D6)</f>
        <v>1</v>
      </c>
      <c r="F6" s="14" t="s">
        <v>56</v>
      </c>
      <c r="G6" s="14" t="s">
        <v>50</v>
      </c>
      <c r="H6" s="14" t="s">
        <v>45</v>
      </c>
      <c r="I6" s="16" t="n">
        <v>402.1</v>
      </c>
      <c r="J6" s="17" t="n">
        <v>0.8988</v>
      </c>
      <c r="K6" s="18" t="n">
        <v>114.66</v>
      </c>
      <c r="L6" s="18" t="n">
        <v>361.35</v>
      </c>
      <c r="M6" s="18" t="n">
        <f aca="false">IF(J6="","",ROUND(MAX(I6*J6,K6),2))</f>
        <v>361.41</v>
      </c>
      <c r="N6" s="18" t="n">
        <f aca="false">IF(M6="","",ROUND(L6-M6,2))</f>
        <v>-0.06</v>
      </c>
      <c r="O6" s="19" t="n">
        <f aca="false">IF(M6="","",N6/M6)</f>
        <v>-0.000166016435627127</v>
      </c>
      <c r="P6" s="14" t="str">
        <f aca="false">IF(M6="","SEM TARIFA NO CONTRATO",IF(N6&gt;Resumo!$B$4,"ACIMA DA TABELA",IF(N6&lt;-Resumo!$B$4,"ABAIXO DA TABELA","OK")))</f>
        <v>OK</v>
      </c>
    </row>
    <row r="7" customFormat="false" ht="15" hidden="false" customHeight="false" outlineLevel="0" collapsed="false">
      <c r="A7" s="14" t="s">
        <v>59</v>
      </c>
      <c r="B7" s="14" t="s">
        <v>60</v>
      </c>
      <c r="C7" s="14" t="s">
        <v>25</v>
      </c>
      <c r="D7" s="15" t="n">
        <v>46025</v>
      </c>
      <c r="E7" s="14" t="n">
        <f aca="false">MONTH(D7)</f>
        <v>1</v>
      </c>
      <c r="F7" s="14" t="s">
        <v>61</v>
      </c>
      <c r="G7" s="14" t="s">
        <v>50</v>
      </c>
      <c r="H7" s="14" t="s">
        <v>62</v>
      </c>
      <c r="I7" s="16" t="n">
        <v>53.7</v>
      </c>
      <c r="J7" s="17" t="n">
        <v>0.95</v>
      </c>
      <c r="K7" s="18" t="n">
        <v>114</v>
      </c>
      <c r="L7" s="18" t="n">
        <v>114.16</v>
      </c>
      <c r="M7" s="18" t="n">
        <f aca="false">IF(J7="","",ROUND(MAX(I7*J7,K7),2))</f>
        <v>114</v>
      </c>
      <c r="N7" s="18" t="n">
        <f aca="false">IF(M7="","",ROUND(L7-M7,2))</f>
        <v>0.16</v>
      </c>
      <c r="O7" s="19" t="n">
        <f aca="false">IF(M7="","",N7/M7)</f>
        <v>0.00140350877192982</v>
      </c>
      <c r="P7" s="14" t="str">
        <f aca="false">IF(M7="","SEM TARIFA NO CONTRATO",IF(N7&gt;Resumo!$B$4,"ACIMA DA TABELA",IF(N7&lt;-Resumo!$B$4,"ABAIXO DA TABELA","OK")))</f>
        <v>OK</v>
      </c>
    </row>
    <row r="8" customFormat="false" ht="15" hidden="false" customHeight="false" outlineLevel="0" collapsed="false">
      <c r="A8" s="14" t="s">
        <v>63</v>
      </c>
      <c r="B8" s="14" t="s">
        <v>64</v>
      </c>
      <c r="C8" s="14" t="s">
        <v>23</v>
      </c>
      <c r="D8" s="15" t="n">
        <v>46026</v>
      </c>
      <c r="E8" s="14" t="n">
        <f aca="false">MONTH(D8)</f>
        <v>1</v>
      </c>
      <c r="F8" s="14" t="s">
        <v>56</v>
      </c>
      <c r="G8" s="14" t="s">
        <v>50</v>
      </c>
      <c r="H8" s="14" t="s">
        <v>45</v>
      </c>
      <c r="I8" s="16" t="n">
        <v>631.6</v>
      </c>
      <c r="J8" s="17" t="n">
        <v>0.7875</v>
      </c>
      <c r="K8" s="18" t="n">
        <v>100.46</v>
      </c>
      <c r="L8" s="18" t="n">
        <v>497.49</v>
      </c>
      <c r="M8" s="18" t="n">
        <f aca="false">IF(J8="","",ROUND(MAX(I8*J8,K8),2))</f>
        <v>497.39</v>
      </c>
      <c r="N8" s="18" t="n">
        <f aca="false">IF(M8="","",ROUND(L8-M8,2))</f>
        <v>0.1</v>
      </c>
      <c r="O8" s="19" t="n">
        <f aca="false">IF(M8="","",N8/M8)</f>
        <v>0.000201049478276604</v>
      </c>
      <c r="P8" s="14" t="str">
        <f aca="false">IF(M8="","SEM TARIFA NO CONTRATO",IF(N8&gt;Resumo!$B$4,"ACIMA DA TABELA",IF(N8&lt;-Resumo!$B$4,"ABAIXO DA TABELA","OK")))</f>
        <v>OK</v>
      </c>
    </row>
    <row r="9" customFormat="false" ht="15" hidden="false" customHeight="false" outlineLevel="0" collapsed="false">
      <c r="A9" s="14" t="s">
        <v>65</v>
      </c>
      <c r="B9" s="14" t="s">
        <v>66</v>
      </c>
      <c r="C9" s="14" t="s">
        <v>24</v>
      </c>
      <c r="D9" s="15" t="n">
        <v>46027</v>
      </c>
      <c r="E9" s="14" t="n">
        <f aca="false">MONTH(D9)</f>
        <v>1</v>
      </c>
      <c r="F9" s="14" t="s">
        <v>67</v>
      </c>
      <c r="G9" s="14" t="s">
        <v>50</v>
      </c>
      <c r="H9" s="14" t="s">
        <v>68</v>
      </c>
      <c r="I9" s="16" t="n">
        <v>604.1</v>
      </c>
      <c r="J9" s="17" t="n">
        <v>1.96</v>
      </c>
      <c r="K9" s="18" t="n">
        <v>192</v>
      </c>
      <c r="L9" s="18" t="n">
        <v>1183.92</v>
      </c>
      <c r="M9" s="18" t="n">
        <f aca="false">IF(J9="","",ROUND(MAX(I9*J9,K9),2))</f>
        <v>1184.04</v>
      </c>
      <c r="N9" s="18" t="n">
        <f aca="false">IF(M9="","",ROUND(L9-M9,2))</f>
        <v>-0.12</v>
      </c>
      <c r="O9" s="19" t="n">
        <f aca="false">IF(M9="","",N9/M9)</f>
        <v>-0.000101347927434884</v>
      </c>
      <c r="P9" s="14" t="str">
        <f aca="false">IF(M9="","SEM TARIFA NO CONTRATO",IF(N9&gt;Resumo!$B$4,"ACIMA DA TABELA",IF(N9&lt;-Resumo!$B$4,"ABAIXO DA TABELA","OK")))</f>
        <v>OK</v>
      </c>
    </row>
    <row r="10" customFormat="false" ht="15" hidden="false" customHeight="false" outlineLevel="0" collapsed="false">
      <c r="A10" s="14" t="s">
        <v>69</v>
      </c>
      <c r="B10" s="14" t="s">
        <v>70</v>
      </c>
      <c r="C10" s="14" t="s">
        <v>21</v>
      </c>
      <c r="D10" s="15" t="n">
        <v>46028</v>
      </c>
      <c r="E10" s="14" t="n">
        <f aca="false">MONTH(D10)</f>
        <v>1</v>
      </c>
      <c r="F10" s="14" t="s">
        <v>49</v>
      </c>
      <c r="G10" s="14" t="s">
        <v>50</v>
      </c>
      <c r="H10" s="14" t="s">
        <v>51</v>
      </c>
      <c r="I10" s="16" t="n">
        <v>277.3</v>
      </c>
      <c r="J10" s="17" t="n">
        <v>4.884</v>
      </c>
      <c r="K10" s="18" t="n">
        <v>415.8</v>
      </c>
      <c r="L10" s="18" t="n">
        <v>1354.12</v>
      </c>
      <c r="M10" s="18" t="n">
        <f aca="false">IF(J10="","",ROUND(MAX(I10*J10,K10),2))</f>
        <v>1354.33</v>
      </c>
      <c r="N10" s="18" t="n">
        <f aca="false">IF(M10="","",ROUND(L10-M10,2))</f>
        <v>-0.21</v>
      </c>
      <c r="O10" s="19" t="n">
        <f aca="false">IF(M10="","",N10/M10)</f>
        <v>-0.000155058220669999</v>
      </c>
      <c r="P10" s="14" t="str">
        <f aca="false">IF(M10="","SEM TARIFA NO CONTRATO",IF(N10&gt;Resumo!$B$4,"ACIMA DA TABELA",IF(N10&lt;-Resumo!$B$4,"ABAIXO DA TABELA","OK")))</f>
        <v>OK</v>
      </c>
    </row>
    <row r="11" customFormat="false" ht="15" hidden="false" customHeight="false" outlineLevel="0" collapsed="false">
      <c r="A11" s="14" t="s">
        <v>71</v>
      </c>
      <c r="B11" s="14" t="s">
        <v>72</v>
      </c>
      <c r="C11" s="14" t="s">
        <v>22</v>
      </c>
      <c r="D11" s="15" t="n">
        <v>46029</v>
      </c>
      <c r="E11" s="14" t="n">
        <f aca="false">MONTH(D11)</f>
        <v>1</v>
      </c>
      <c r="F11" s="14" t="s">
        <v>73</v>
      </c>
      <c r="G11" s="14" t="s">
        <v>50</v>
      </c>
      <c r="H11" s="14" t="s">
        <v>74</v>
      </c>
      <c r="I11" s="16" t="n">
        <v>1444.3</v>
      </c>
      <c r="J11" s="17" t="n">
        <v>1.2012</v>
      </c>
      <c r="K11" s="18" t="n">
        <v>137.34</v>
      </c>
      <c r="L11" s="18" t="n">
        <v>1734.62</v>
      </c>
      <c r="M11" s="18" t="n">
        <f aca="false">IF(J11="","",ROUND(MAX(I11*J11,K11),2))</f>
        <v>1734.89</v>
      </c>
      <c r="N11" s="18" t="n">
        <f aca="false">IF(M11="","",ROUND(L11-M11,2))</f>
        <v>-0.27</v>
      </c>
      <c r="O11" s="19" t="n">
        <f aca="false">IF(M11="","",N11/M11)</f>
        <v>-0.000155629463539475</v>
      </c>
      <c r="P11" s="14" t="str">
        <f aca="false">IF(M11="","SEM TARIFA NO CONTRATO",IF(N11&gt;Resumo!$B$4,"ACIMA DA TABELA",IF(N11&lt;-Resumo!$B$4,"ABAIXO DA TABELA","OK")))</f>
        <v>OK</v>
      </c>
    </row>
    <row r="12" customFormat="false" ht="15" hidden="false" customHeight="false" outlineLevel="0" collapsed="false">
      <c r="A12" s="14" t="s">
        <v>75</v>
      </c>
      <c r="B12" s="14" t="s">
        <v>76</v>
      </c>
      <c r="C12" s="14" t="s">
        <v>24</v>
      </c>
      <c r="D12" s="15" t="n">
        <v>46030</v>
      </c>
      <c r="E12" s="14" t="n">
        <f aca="false">MONTH(D12)</f>
        <v>1</v>
      </c>
      <c r="F12" s="14" t="s">
        <v>73</v>
      </c>
      <c r="G12" s="14" t="s">
        <v>50</v>
      </c>
      <c r="H12" s="14" t="s">
        <v>74</v>
      </c>
      <c r="I12" s="16" t="n">
        <v>517.4</v>
      </c>
      <c r="J12" s="17" t="n">
        <v>1.144</v>
      </c>
      <c r="K12" s="18" t="n">
        <v>130.8</v>
      </c>
      <c r="L12" s="18" t="n">
        <v>591.51</v>
      </c>
      <c r="M12" s="18" t="n">
        <f aca="false">IF(J12="","",ROUND(MAX(I12*J12,K12),2))</f>
        <v>591.91</v>
      </c>
      <c r="N12" s="18" t="n">
        <f aca="false">IF(M12="","",ROUND(L12-M12,2))</f>
        <v>-0.4</v>
      </c>
      <c r="O12" s="19" t="n">
        <f aca="false">IF(M12="","",N12/M12)</f>
        <v>-0.000675778412258621</v>
      </c>
      <c r="P12" s="14" t="str">
        <f aca="false">IF(M12="","SEM TARIFA NO CONTRATO",IF(N12&gt;Resumo!$B$4,"ACIMA DA TABELA",IF(N12&lt;-Resumo!$B$4,"ABAIXO DA TABELA","OK")))</f>
        <v>OK</v>
      </c>
    </row>
    <row r="13" customFormat="false" ht="15" hidden="false" customHeight="false" outlineLevel="0" collapsed="false">
      <c r="A13" s="14" t="s">
        <v>77</v>
      </c>
      <c r="B13" s="14" t="s">
        <v>78</v>
      </c>
      <c r="C13" s="14" t="s">
        <v>23</v>
      </c>
      <c r="D13" s="15" t="n">
        <v>46031</v>
      </c>
      <c r="E13" s="14" t="n">
        <f aca="false">MONTH(D13)</f>
        <v>1</v>
      </c>
      <c r="F13" s="14" t="s">
        <v>79</v>
      </c>
      <c r="G13" s="14" t="s">
        <v>50</v>
      </c>
      <c r="H13" s="14" t="s">
        <v>46</v>
      </c>
      <c r="I13" s="16" t="n">
        <v>565</v>
      </c>
      <c r="J13" s="17" t="n">
        <v>0.3312</v>
      </c>
      <c r="K13" s="18" t="n">
        <v>66.24</v>
      </c>
      <c r="L13" s="18" t="n">
        <v>186.9</v>
      </c>
      <c r="M13" s="18" t="n">
        <f aca="false">IF(J13="","",ROUND(MAX(I13*J13,K13),2))</f>
        <v>187.13</v>
      </c>
      <c r="N13" s="18" t="n">
        <f aca="false">IF(M13="","",ROUND(L13-M13,2))</f>
        <v>-0.23</v>
      </c>
      <c r="O13" s="19" t="n">
        <f aca="false">IF(M13="","",N13/M13)</f>
        <v>-0.00122909207502806</v>
      </c>
      <c r="P13" s="14" t="str">
        <f aca="false">IF(M13="","SEM TARIFA NO CONTRATO",IF(N13&gt;Resumo!$B$4,"ACIMA DA TABELA",IF(N13&lt;-Resumo!$B$4,"ABAIXO DA TABELA","OK")))</f>
        <v>OK</v>
      </c>
    </row>
    <row r="14" customFormat="false" ht="15" hidden="false" customHeight="false" outlineLevel="0" collapsed="false">
      <c r="A14" s="14" t="s">
        <v>80</v>
      </c>
      <c r="B14" s="14" t="s">
        <v>81</v>
      </c>
      <c r="C14" s="14" t="s">
        <v>24</v>
      </c>
      <c r="D14" s="15" t="n">
        <v>46032</v>
      </c>
      <c r="E14" s="14" t="n">
        <f aca="false">MONTH(D14)</f>
        <v>1</v>
      </c>
      <c r="F14" s="14" t="s">
        <v>79</v>
      </c>
      <c r="G14" s="14" t="s">
        <v>50</v>
      </c>
      <c r="H14" s="14" t="s">
        <v>46</v>
      </c>
      <c r="I14" s="16" t="n">
        <v>2132.9</v>
      </c>
      <c r="J14" s="17" t="n">
        <v>0.36</v>
      </c>
      <c r="K14" s="18" t="n">
        <v>72</v>
      </c>
      <c r="L14" s="18" t="n">
        <v>768.09</v>
      </c>
      <c r="M14" s="18" t="n">
        <f aca="false">IF(J14="","",ROUND(MAX(I14*J14,K14),2))</f>
        <v>767.84</v>
      </c>
      <c r="N14" s="18" t="n">
        <f aca="false">IF(M14="","",ROUND(L14-M14,2))</f>
        <v>0.25</v>
      </c>
      <c r="O14" s="19" t="n">
        <f aca="false">IF(M14="","",N14/M14)</f>
        <v>0.000325588664305064</v>
      </c>
      <c r="P14" s="14" t="str">
        <f aca="false">IF(M14="","SEM TARIFA NO CONTRATO",IF(N14&gt;Resumo!$B$4,"ACIMA DA TABELA",IF(N14&lt;-Resumo!$B$4,"ABAIXO DA TABELA","OK")))</f>
        <v>OK</v>
      </c>
    </row>
    <row r="15" customFormat="false" ht="15" hidden="false" customHeight="false" outlineLevel="0" collapsed="false">
      <c r="A15" s="14" t="s">
        <v>82</v>
      </c>
      <c r="B15" s="14" t="s">
        <v>83</v>
      </c>
      <c r="C15" s="14" t="s">
        <v>25</v>
      </c>
      <c r="D15" s="15" t="n">
        <v>46032</v>
      </c>
      <c r="E15" s="14" t="n">
        <f aca="false">MONTH(D15)</f>
        <v>1</v>
      </c>
      <c r="F15" s="14" t="s">
        <v>61</v>
      </c>
      <c r="G15" s="14" t="s">
        <v>50</v>
      </c>
      <c r="H15" s="14" t="s">
        <v>62</v>
      </c>
      <c r="I15" s="16" t="n">
        <v>659</v>
      </c>
      <c r="J15" s="17" t="n">
        <v>0.95</v>
      </c>
      <c r="K15" s="18" t="n">
        <v>114</v>
      </c>
      <c r="L15" s="18" t="n">
        <v>626.15</v>
      </c>
      <c r="M15" s="18" t="n">
        <f aca="false">IF(J15="","",ROUND(MAX(I15*J15,K15),2))</f>
        <v>626.05</v>
      </c>
      <c r="N15" s="18" t="n">
        <f aca="false">IF(M15="","",ROUND(L15-M15,2))</f>
        <v>0.1</v>
      </c>
      <c r="O15" s="19" t="n">
        <f aca="false">IF(M15="","",N15/M15)</f>
        <v>0.000159731650826611</v>
      </c>
      <c r="P15" s="14" t="str">
        <f aca="false">IF(M15="","SEM TARIFA NO CONTRATO",IF(N15&gt;Resumo!$B$4,"ACIMA DA TABELA",IF(N15&lt;-Resumo!$B$4,"ABAIXO DA TABELA","OK")))</f>
        <v>OK</v>
      </c>
    </row>
    <row r="16" customFormat="false" ht="15" hidden="false" customHeight="false" outlineLevel="0" collapsed="false">
      <c r="A16" s="14" t="s">
        <v>84</v>
      </c>
      <c r="B16" s="14" t="s">
        <v>85</v>
      </c>
      <c r="C16" s="14" t="s">
        <v>24</v>
      </c>
      <c r="D16" s="15" t="n">
        <v>46033</v>
      </c>
      <c r="E16" s="14" t="n">
        <f aca="false">MONTH(D16)</f>
        <v>1</v>
      </c>
      <c r="F16" s="14" t="s">
        <v>61</v>
      </c>
      <c r="G16" s="14" t="s">
        <v>50</v>
      </c>
      <c r="H16" s="14" t="s">
        <v>62</v>
      </c>
      <c r="I16" s="16" t="n">
        <v>174</v>
      </c>
      <c r="J16" s="17" t="n">
        <v>1</v>
      </c>
      <c r="K16" s="18" t="n">
        <v>120</v>
      </c>
      <c r="L16" s="18" t="n">
        <v>174.39</v>
      </c>
      <c r="M16" s="18" t="n">
        <f aca="false">IF(J16="","",ROUND(MAX(I16*J16,K16),2))</f>
        <v>174</v>
      </c>
      <c r="N16" s="18" t="n">
        <f aca="false">IF(M16="","",ROUND(L16-M16,2))</f>
        <v>0.39</v>
      </c>
      <c r="O16" s="19" t="n">
        <f aca="false">IF(M16="","",N16/M16)</f>
        <v>0.00224137931034483</v>
      </c>
      <c r="P16" s="14" t="str">
        <f aca="false">IF(M16="","SEM TARIFA NO CONTRATO",IF(N16&gt;Resumo!$B$4,"ACIMA DA TABELA",IF(N16&lt;-Resumo!$B$4,"ABAIXO DA TABELA","OK")))</f>
        <v>OK</v>
      </c>
    </row>
    <row r="17" customFormat="false" ht="15" hidden="false" customHeight="false" outlineLevel="0" collapsed="false">
      <c r="A17" s="14" t="s">
        <v>86</v>
      </c>
      <c r="B17" s="14" t="s">
        <v>87</v>
      </c>
      <c r="C17" s="14" t="s">
        <v>23</v>
      </c>
      <c r="D17" s="15" t="n">
        <v>46034</v>
      </c>
      <c r="E17" s="14" t="n">
        <f aca="false">MONTH(D17)</f>
        <v>1</v>
      </c>
      <c r="F17" s="14" t="s">
        <v>88</v>
      </c>
      <c r="G17" s="14" t="s">
        <v>50</v>
      </c>
      <c r="H17" s="14" t="s">
        <v>89</v>
      </c>
      <c r="I17" s="16" t="n">
        <v>273</v>
      </c>
      <c r="J17" s="17" t="n">
        <v>1.553</v>
      </c>
      <c r="K17" s="18" t="n">
        <v>157.87</v>
      </c>
      <c r="L17" s="18" t="n">
        <v>487.35</v>
      </c>
      <c r="M17" s="18" t="n">
        <f aca="false">IF(J17="","",ROUND(MAX(I17*J17,K17),2))</f>
        <v>423.97</v>
      </c>
      <c r="N17" s="18" t="n">
        <f aca="false">IF(M17="","",ROUND(L17-M17,2))</f>
        <v>63.38</v>
      </c>
      <c r="O17" s="19" t="n">
        <f aca="false">IF(M17="","",N17/M17)</f>
        <v>0.149491709319056</v>
      </c>
      <c r="P17" s="14" t="str">
        <f aca="false">IF(M17="","SEM TARIFA NO CONTRATO",IF(N17&gt;Resumo!$B$4,"ACIMA DA TABELA",IF(N17&lt;-Resumo!$B$4,"ABAIXO DA TABELA","OK")))</f>
        <v>ACIMA DA TABELA</v>
      </c>
    </row>
    <row r="18" customFormat="false" ht="15" hidden="false" customHeight="false" outlineLevel="0" collapsed="false">
      <c r="A18" s="14" t="s">
        <v>90</v>
      </c>
      <c r="B18" s="14" t="s">
        <v>91</v>
      </c>
      <c r="C18" s="14" t="s">
        <v>24</v>
      </c>
      <c r="D18" s="15" t="n">
        <v>46035</v>
      </c>
      <c r="E18" s="14" t="n">
        <f aca="false">MONTH(D18)</f>
        <v>1</v>
      </c>
      <c r="F18" s="14" t="s">
        <v>79</v>
      </c>
      <c r="G18" s="14" t="s">
        <v>50</v>
      </c>
      <c r="H18" s="14" t="s">
        <v>46</v>
      </c>
      <c r="I18" s="16" t="n">
        <v>405.8</v>
      </c>
      <c r="J18" s="17" t="n">
        <v>0.36</v>
      </c>
      <c r="K18" s="18" t="n">
        <v>72</v>
      </c>
      <c r="L18" s="18" t="n">
        <v>145.73</v>
      </c>
      <c r="M18" s="18" t="n">
        <f aca="false">IF(J18="","",ROUND(MAX(I18*J18,K18),2))</f>
        <v>146.09</v>
      </c>
      <c r="N18" s="18" t="n">
        <f aca="false">IF(M18="","",ROUND(L18-M18,2))</f>
        <v>-0.36</v>
      </c>
      <c r="O18" s="19" t="n">
        <f aca="false">IF(M18="","",N18/M18)</f>
        <v>-0.00246423437606955</v>
      </c>
      <c r="P18" s="14" t="str">
        <f aca="false">IF(M18="","SEM TARIFA NO CONTRATO",IF(N18&gt;Resumo!$B$4,"ACIMA DA TABELA",IF(N18&lt;-Resumo!$B$4,"ABAIXO DA TABELA","OK")))</f>
        <v>OK</v>
      </c>
    </row>
    <row r="19" customFormat="false" ht="15" hidden="false" customHeight="false" outlineLevel="0" collapsed="false">
      <c r="A19" s="14" t="s">
        <v>92</v>
      </c>
      <c r="B19" s="14" t="s">
        <v>93</v>
      </c>
      <c r="C19" s="14" t="s">
        <v>25</v>
      </c>
      <c r="D19" s="15" t="n">
        <v>46036</v>
      </c>
      <c r="E19" s="14" t="n">
        <f aca="false">MONTH(D19)</f>
        <v>1</v>
      </c>
      <c r="F19" s="14" t="s">
        <v>73</v>
      </c>
      <c r="G19" s="14" t="s">
        <v>50</v>
      </c>
      <c r="H19" s="14" t="s">
        <v>74</v>
      </c>
      <c r="I19" s="16" t="n">
        <v>1670.8</v>
      </c>
      <c r="J19" s="17" t="n">
        <v>1.0868</v>
      </c>
      <c r="K19" s="18" t="n">
        <v>124.26</v>
      </c>
      <c r="L19" s="18" t="n">
        <v>1816.19</v>
      </c>
      <c r="M19" s="18" t="n">
        <f aca="false">IF(J19="","",ROUND(MAX(I19*J19,K19),2))</f>
        <v>1815.83</v>
      </c>
      <c r="N19" s="18" t="n">
        <f aca="false">IF(M19="","",ROUND(L19-M19,2))</f>
        <v>0.36</v>
      </c>
      <c r="O19" s="19" t="n">
        <f aca="false">IF(M19="","",N19/M19)</f>
        <v>0.000198256444711234</v>
      </c>
      <c r="P19" s="14" t="str">
        <f aca="false">IF(M19="","SEM TARIFA NO CONTRATO",IF(N19&gt;Resumo!$B$4,"ACIMA DA TABELA",IF(N19&lt;-Resumo!$B$4,"ABAIXO DA TABELA","OK")))</f>
        <v>OK</v>
      </c>
    </row>
    <row r="20" customFormat="false" ht="15" hidden="false" customHeight="false" outlineLevel="0" collapsed="false">
      <c r="A20" s="14" t="s">
        <v>94</v>
      </c>
      <c r="B20" s="14" t="s">
        <v>95</v>
      </c>
      <c r="C20" s="14" t="s">
        <v>22</v>
      </c>
      <c r="D20" s="15" t="n">
        <v>46036</v>
      </c>
      <c r="E20" s="14" t="n">
        <f aca="false">MONTH(D20)</f>
        <v>1</v>
      </c>
      <c r="F20" s="14" t="s">
        <v>49</v>
      </c>
      <c r="G20" s="14" t="s">
        <v>50</v>
      </c>
      <c r="H20" s="14" t="s">
        <v>51</v>
      </c>
      <c r="I20" s="16" t="n">
        <v>805.8</v>
      </c>
      <c r="J20" s="17" t="n">
        <v>4.662</v>
      </c>
      <c r="K20" s="18" t="n">
        <v>396.9</v>
      </c>
      <c r="L20" s="18" t="n">
        <v>4071.16</v>
      </c>
      <c r="M20" s="18" t="n">
        <f aca="false">IF(J20="","",ROUND(MAX(I20*J20,K20),2))</f>
        <v>3756.64</v>
      </c>
      <c r="N20" s="18" t="n">
        <f aca="false">IF(M20="","",ROUND(L20-M20,2))</f>
        <v>314.52</v>
      </c>
      <c r="O20" s="19" t="n">
        <f aca="false">IF(M20="","",N20/M20)</f>
        <v>0.0837237531411048</v>
      </c>
      <c r="P20" s="14" t="str">
        <f aca="false">IF(M20="","SEM TARIFA NO CONTRATO",IF(N20&gt;Resumo!$B$4,"ACIMA DA TABELA",IF(N20&lt;-Resumo!$B$4,"ABAIXO DA TABELA","OK")))</f>
        <v>ACIMA DA TABELA</v>
      </c>
    </row>
    <row r="21" customFormat="false" ht="15" hidden="false" customHeight="false" outlineLevel="0" collapsed="false">
      <c r="A21" s="14" t="s">
        <v>96</v>
      </c>
      <c r="B21" s="14" t="s">
        <v>97</v>
      </c>
      <c r="C21" s="14" t="s">
        <v>21</v>
      </c>
      <c r="D21" s="15" t="n">
        <v>46037</v>
      </c>
      <c r="E21" s="14" t="n">
        <f aca="false">MONTH(D21)</f>
        <v>1</v>
      </c>
      <c r="F21" s="14" t="s">
        <v>67</v>
      </c>
      <c r="G21" s="14" t="s">
        <v>50</v>
      </c>
      <c r="H21" s="14" t="s">
        <v>68</v>
      </c>
      <c r="I21" s="16" t="n">
        <v>399.7</v>
      </c>
      <c r="J21" s="17" t="n">
        <v>2.156</v>
      </c>
      <c r="K21" s="18" t="n">
        <v>211.2</v>
      </c>
      <c r="L21" s="18" t="n">
        <v>861.81</v>
      </c>
      <c r="M21" s="18" t="n">
        <f aca="false">IF(J21="","",ROUND(MAX(I21*J21,K21),2))</f>
        <v>861.75</v>
      </c>
      <c r="N21" s="18" t="n">
        <f aca="false">IF(M21="","",ROUND(L21-M21,2))</f>
        <v>0.06</v>
      </c>
      <c r="O21" s="19" t="n">
        <f aca="false">IF(M21="","",N21/M21)</f>
        <v>6.96257615317668E-005</v>
      </c>
      <c r="P21" s="14" t="str">
        <f aca="false">IF(M21="","SEM TARIFA NO CONTRATO",IF(N21&gt;Resumo!$B$4,"ACIMA DA TABELA",IF(N21&lt;-Resumo!$B$4,"ABAIXO DA TABELA","OK")))</f>
        <v>OK</v>
      </c>
    </row>
    <row r="22" customFormat="false" ht="15" hidden="false" customHeight="false" outlineLevel="0" collapsed="false">
      <c r="A22" s="14" t="s">
        <v>98</v>
      </c>
      <c r="B22" s="14" t="s">
        <v>99</v>
      </c>
      <c r="C22" s="14" t="s">
        <v>25</v>
      </c>
      <c r="D22" s="15" t="n">
        <v>46037</v>
      </c>
      <c r="E22" s="14" t="n">
        <f aca="false">MONTH(D22)</f>
        <v>1</v>
      </c>
      <c r="F22" s="14" t="s">
        <v>88</v>
      </c>
      <c r="G22" s="14" t="s">
        <v>50</v>
      </c>
      <c r="H22" s="14" t="s">
        <v>89</v>
      </c>
      <c r="I22" s="16" t="n">
        <v>474.6</v>
      </c>
      <c r="J22" s="17" t="n">
        <v>1.6036</v>
      </c>
      <c r="K22" s="18" t="n">
        <v>163.02</v>
      </c>
      <c r="L22" s="18" t="n">
        <v>760.97</v>
      </c>
      <c r="M22" s="18" t="n">
        <f aca="false">IF(J22="","",ROUND(MAX(I22*J22,K22),2))</f>
        <v>761.07</v>
      </c>
      <c r="N22" s="18" t="n">
        <f aca="false">IF(M22="","",ROUND(L22-M22,2))</f>
        <v>-0.1</v>
      </c>
      <c r="O22" s="19" t="n">
        <f aca="false">IF(M22="","",N22/M22)</f>
        <v>-0.000131393958505788</v>
      </c>
      <c r="P22" s="14" t="str">
        <f aca="false">IF(M22="","SEM TARIFA NO CONTRATO",IF(N22&gt;Resumo!$B$4,"ACIMA DA TABELA",IF(N22&lt;-Resumo!$B$4,"ABAIXO DA TABELA","OK")))</f>
        <v>OK</v>
      </c>
    </row>
    <row r="23" customFormat="false" ht="15" hidden="false" customHeight="false" outlineLevel="0" collapsed="false">
      <c r="A23" s="14" t="s">
        <v>100</v>
      </c>
      <c r="B23" s="14" t="s">
        <v>101</v>
      </c>
      <c r="C23" s="14" t="s">
        <v>21</v>
      </c>
      <c r="D23" s="15" t="n">
        <v>46037</v>
      </c>
      <c r="E23" s="14" t="n">
        <f aca="false">MONTH(D23)</f>
        <v>1</v>
      </c>
      <c r="F23" s="14" t="s">
        <v>73</v>
      </c>
      <c r="G23" s="14" t="s">
        <v>50</v>
      </c>
      <c r="H23" s="14" t="s">
        <v>74</v>
      </c>
      <c r="I23" s="16" t="n">
        <v>161.4</v>
      </c>
      <c r="J23" s="17" t="n">
        <v>1.2584</v>
      </c>
      <c r="K23" s="18" t="n">
        <v>143.88</v>
      </c>
      <c r="L23" s="18" t="n">
        <v>203.44</v>
      </c>
      <c r="M23" s="18" t="n">
        <f aca="false">IF(J23="","",ROUND(MAX(I23*J23,K23),2))</f>
        <v>203.11</v>
      </c>
      <c r="N23" s="18" t="n">
        <f aca="false">IF(M23="","",ROUND(L23-M23,2))</f>
        <v>0.33</v>
      </c>
      <c r="O23" s="19" t="n">
        <f aca="false">IF(M23="","",N23/M23)</f>
        <v>0.00162473536507311</v>
      </c>
      <c r="P23" s="14" t="str">
        <f aca="false">IF(M23="","SEM TARIFA NO CONTRATO",IF(N23&gt;Resumo!$B$4,"ACIMA DA TABELA",IF(N23&lt;-Resumo!$B$4,"ABAIXO DA TABELA","OK")))</f>
        <v>OK</v>
      </c>
    </row>
    <row r="24" customFormat="false" ht="15" hidden="false" customHeight="false" outlineLevel="0" collapsed="false">
      <c r="A24" s="14" t="s">
        <v>102</v>
      </c>
      <c r="B24" s="14" t="s">
        <v>103</v>
      </c>
      <c r="C24" s="14" t="s">
        <v>21</v>
      </c>
      <c r="D24" s="15" t="n">
        <v>46037</v>
      </c>
      <c r="E24" s="14" t="n">
        <f aca="false">MONTH(D24)</f>
        <v>1</v>
      </c>
      <c r="F24" s="14" t="s">
        <v>104</v>
      </c>
      <c r="G24" s="14" t="s">
        <v>45</v>
      </c>
      <c r="H24" s="14" t="s">
        <v>68</v>
      </c>
      <c r="I24" s="16" t="n">
        <v>1214.7</v>
      </c>
      <c r="J24" s="17"/>
      <c r="K24" s="18"/>
      <c r="L24" s="18" t="n">
        <v>2004.26</v>
      </c>
      <c r="M24" s="18" t="str">
        <f aca="false">IF(J24="","",ROUND(MAX(I24*J24,K24),2))</f>
        <v/>
      </c>
      <c r="N24" s="18" t="str">
        <f aca="false">IF(M24="","",ROUND(L24-M24,2))</f>
        <v/>
      </c>
      <c r="O24" s="19" t="str">
        <f aca="false">IF(M24="","",N24/M24)</f>
        <v/>
      </c>
      <c r="P24" s="14" t="str">
        <f aca="false">IF(M24="","SEM TARIFA NO CONTRATO",IF(N24&gt;Resumo!$B$4,"ACIMA DA TABELA",IF(N24&lt;-Resumo!$B$4,"ABAIXO DA TABELA","OK")))</f>
        <v>SEM TARIFA NO CONTRATO</v>
      </c>
    </row>
    <row r="25" customFormat="false" ht="15" hidden="false" customHeight="false" outlineLevel="0" collapsed="false">
      <c r="A25" s="14" t="s">
        <v>105</v>
      </c>
      <c r="B25" s="14" t="s">
        <v>106</v>
      </c>
      <c r="C25" s="14" t="s">
        <v>21</v>
      </c>
      <c r="D25" s="15" t="n">
        <v>46038</v>
      </c>
      <c r="E25" s="14" t="n">
        <f aca="false">MONTH(D25)</f>
        <v>1</v>
      </c>
      <c r="F25" s="14" t="s">
        <v>61</v>
      </c>
      <c r="G25" s="14" t="s">
        <v>50</v>
      </c>
      <c r="H25" s="14" t="s">
        <v>62</v>
      </c>
      <c r="I25" s="16" t="n">
        <v>217.6</v>
      </c>
      <c r="J25" s="17" t="n">
        <v>1.1</v>
      </c>
      <c r="K25" s="18" t="n">
        <v>132</v>
      </c>
      <c r="L25" s="18" t="n">
        <v>239.44</v>
      </c>
      <c r="M25" s="18" t="n">
        <f aca="false">IF(J25="","",ROUND(MAX(I25*J25,K25),2))</f>
        <v>239.36</v>
      </c>
      <c r="N25" s="18" t="n">
        <f aca="false">IF(M25="","",ROUND(L25-M25,2))</f>
        <v>0.08</v>
      </c>
      <c r="O25" s="19" t="n">
        <f aca="false">IF(M25="","",N25/M25)</f>
        <v>0.000334224598930481</v>
      </c>
      <c r="P25" s="14" t="str">
        <f aca="false">IF(M25="","SEM TARIFA NO CONTRATO",IF(N25&gt;Resumo!$B$4,"ACIMA DA TABELA",IF(N25&lt;-Resumo!$B$4,"ABAIXO DA TABELA","OK")))</f>
        <v>OK</v>
      </c>
    </row>
    <row r="26" customFormat="false" ht="15" hidden="false" customHeight="false" outlineLevel="0" collapsed="false">
      <c r="A26" s="14" t="s">
        <v>107</v>
      </c>
      <c r="B26" s="14" t="s">
        <v>108</v>
      </c>
      <c r="C26" s="14" t="s">
        <v>21</v>
      </c>
      <c r="D26" s="15" t="n">
        <v>46039</v>
      </c>
      <c r="E26" s="14" t="n">
        <f aca="false">MONTH(D26)</f>
        <v>1</v>
      </c>
      <c r="F26" s="14" t="s">
        <v>67</v>
      </c>
      <c r="G26" s="14" t="s">
        <v>50</v>
      </c>
      <c r="H26" s="14" t="s">
        <v>68</v>
      </c>
      <c r="I26" s="16" t="n">
        <v>119.7</v>
      </c>
      <c r="J26" s="17" t="n">
        <v>2.156</v>
      </c>
      <c r="K26" s="18" t="n">
        <v>211.2</v>
      </c>
      <c r="L26" s="18" t="n">
        <v>258.24</v>
      </c>
      <c r="M26" s="18" t="n">
        <f aca="false">IF(J26="","",ROUND(MAX(I26*J26,K26),2))</f>
        <v>258.07</v>
      </c>
      <c r="N26" s="18" t="n">
        <f aca="false">IF(M26="","",ROUND(L26-M26,2))</f>
        <v>0.17</v>
      </c>
      <c r="O26" s="19" t="n">
        <f aca="false">IF(M26="","",N26/M26)</f>
        <v>0.000658736001859961</v>
      </c>
      <c r="P26" s="14" t="str">
        <f aca="false">IF(M26="","SEM TARIFA NO CONTRATO",IF(N26&gt;Resumo!$B$4,"ACIMA DA TABELA",IF(N26&lt;-Resumo!$B$4,"ABAIXO DA TABELA","OK")))</f>
        <v>OK</v>
      </c>
    </row>
    <row r="27" customFormat="false" ht="15" hidden="false" customHeight="false" outlineLevel="0" collapsed="false">
      <c r="A27" s="14" t="s">
        <v>109</v>
      </c>
      <c r="B27" s="14" t="s">
        <v>110</v>
      </c>
      <c r="C27" s="14" t="s">
        <v>21</v>
      </c>
      <c r="D27" s="15" t="n">
        <v>46039</v>
      </c>
      <c r="E27" s="14" t="n">
        <f aca="false">MONTH(D27)</f>
        <v>1</v>
      </c>
      <c r="F27" s="14" t="s">
        <v>67</v>
      </c>
      <c r="G27" s="14" t="s">
        <v>50</v>
      </c>
      <c r="H27" s="14" t="s">
        <v>68</v>
      </c>
      <c r="I27" s="16" t="n">
        <v>717.2</v>
      </c>
      <c r="J27" s="17" t="n">
        <v>2.156</v>
      </c>
      <c r="K27" s="18" t="n">
        <v>211.2</v>
      </c>
      <c r="L27" s="18" t="n">
        <v>1697.86</v>
      </c>
      <c r="M27" s="18" t="n">
        <f aca="false">IF(J27="","",ROUND(MAX(I27*J27,K27),2))</f>
        <v>1546.28</v>
      </c>
      <c r="N27" s="18" t="n">
        <f aca="false">IF(M27="","",ROUND(L27-M27,2))</f>
        <v>151.58</v>
      </c>
      <c r="O27" s="19" t="n">
        <f aca="false">IF(M27="","",N27/M27)</f>
        <v>0.0980288175492149</v>
      </c>
      <c r="P27" s="14" t="str">
        <f aca="false">IF(M27="","SEM TARIFA NO CONTRATO",IF(N27&gt;Resumo!$B$4,"ACIMA DA TABELA",IF(N27&lt;-Resumo!$B$4,"ABAIXO DA TABELA","OK")))</f>
        <v>ACIMA DA TABELA</v>
      </c>
    </row>
    <row r="28" customFormat="false" ht="15" hidden="false" customHeight="false" outlineLevel="0" collapsed="false">
      <c r="A28" s="14" t="s">
        <v>111</v>
      </c>
      <c r="B28" s="14" t="s">
        <v>112</v>
      </c>
      <c r="C28" s="14" t="s">
        <v>24</v>
      </c>
      <c r="D28" s="15" t="n">
        <v>46039</v>
      </c>
      <c r="E28" s="14" t="n">
        <f aca="false">MONTH(D28)</f>
        <v>1</v>
      </c>
      <c r="F28" s="14" t="s">
        <v>44</v>
      </c>
      <c r="G28" s="14" t="s">
        <v>45</v>
      </c>
      <c r="H28" s="14" t="s">
        <v>46</v>
      </c>
      <c r="I28" s="16" t="n">
        <v>179.3</v>
      </c>
      <c r="J28" s="17" t="n">
        <v>0.856</v>
      </c>
      <c r="K28" s="18" t="n">
        <v>109.2</v>
      </c>
      <c r="L28" s="18" t="n">
        <v>159.85</v>
      </c>
      <c r="M28" s="18" t="n">
        <f aca="false">IF(J28="","",ROUND(MAX(I28*J28,K28),2))</f>
        <v>153.48</v>
      </c>
      <c r="N28" s="18" t="n">
        <f aca="false">IF(M28="","",ROUND(L28-M28,2))</f>
        <v>6.37</v>
      </c>
      <c r="O28" s="19" t="n">
        <f aca="false">IF(M28="","",N28/M28)</f>
        <v>0.0415037789940057</v>
      </c>
      <c r="P28" s="14" t="str">
        <f aca="false">IF(M28="","SEM TARIFA NO CONTRATO",IF(N28&gt;Resumo!$B$4,"ACIMA DA TABELA",IF(N28&lt;-Resumo!$B$4,"ABAIXO DA TABELA","OK")))</f>
        <v>ACIMA DA TABELA</v>
      </c>
    </row>
    <row r="29" customFormat="false" ht="15" hidden="false" customHeight="false" outlineLevel="0" collapsed="false">
      <c r="A29" s="14" t="s">
        <v>113</v>
      </c>
      <c r="B29" s="14" t="s">
        <v>114</v>
      </c>
      <c r="C29" s="14" t="s">
        <v>21</v>
      </c>
      <c r="D29" s="15" t="n">
        <v>46039</v>
      </c>
      <c r="E29" s="14" t="n">
        <f aca="false">MONTH(D29)</f>
        <v>1</v>
      </c>
      <c r="F29" s="14" t="s">
        <v>88</v>
      </c>
      <c r="G29" s="14" t="s">
        <v>50</v>
      </c>
      <c r="H29" s="14" t="s">
        <v>89</v>
      </c>
      <c r="I29" s="16" t="n">
        <v>242.1</v>
      </c>
      <c r="J29" s="17" t="n">
        <v>1.8568</v>
      </c>
      <c r="K29" s="18" t="n">
        <v>188.76</v>
      </c>
      <c r="L29" s="18" t="n">
        <v>449.58</v>
      </c>
      <c r="M29" s="18" t="n">
        <f aca="false">IF(J29="","",ROUND(MAX(I29*J29,K29),2))</f>
        <v>449.53</v>
      </c>
      <c r="N29" s="18" t="n">
        <f aca="false">IF(M29="","",ROUND(L29-M29,2))</f>
        <v>0.05</v>
      </c>
      <c r="O29" s="19" t="n">
        <f aca="false">IF(M29="","",N29/M29)</f>
        <v>0.000111227281827687</v>
      </c>
      <c r="P29" s="14" t="str">
        <f aca="false">IF(M29="","SEM TARIFA NO CONTRATO",IF(N29&gt;Resumo!$B$4,"ACIMA DA TABELA",IF(N29&lt;-Resumo!$B$4,"ABAIXO DA TABELA","OK")))</f>
        <v>OK</v>
      </c>
    </row>
    <row r="30" customFormat="false" ht="15" hidden="false" customHeight="false" outlineLevel="0" collapsed="false">
      <c r="A30" s="14" t="s">
        <v>115</v>
      </c>
      <c r="B30" s="14" t="s">
        <v>101</v>
      </c>
      <c r="C30" s="14" t="s">
        <v>21</v>
      </c>
      <c r="D30" s="15" t="n">
        <v>46040</v>
      </c>
      <c r="E30" s="14" t="n">
        <f aca="false">MONTH(D30)</f>
        <v>1</v>
      </c>
      <c r="F30" s="14" t="s">
        <v>73</v>
      </c>
      <c r="G30" s="14" t="s">
        <v>50</v>
      </c>
      <c r="H30" s="14" t="s">
        <v>74</v>
      </c>
      <c r="I30" s="16" t="n">
        <v>161.4</v>
      </c>
      <c r="J30" s="17" t="n">
        <v>1.2584</v>
      </c>
      <c r="K30" s="18" t="n">
        <v>143.88</v>
      </c>
      <c r="L30" s="18" t="n">
        <v>203.44</v>
      </c>
      <c r="M30" s="18" t="n">
        <f aca="false">IF(J30="","",ROUND(MAX(I30*J30,K30),2))</f>
        <v>203.11</v>
      </c>
      <c r="N30" s="18" t="n">
        <f aca="false">IF(M30="","",ROUND(L30-M30,2))</f>
        <v>0.33</v>
      </c>
      <c r="O30" s="19" t="n">
        <f aca="false">IF(M30="","",N30/M30)</f>
        <v>0.00162473536507311</v>
      </c>
      <c r="P30" s="14" t="str">
        <f aca="false">IF(M30="","SEM TARIFA NO CONTRATO",IF(N30&gt;Resumo!$B$4,"ACIMA DA TABELA",IF(N30&lt;-Resumo!$B$4,"ABAIXO DA TABELA","OK")))</f>
        <v>OK</v>
      </c>
    </row>
    <row r="31" customFormat="false" ht="15" hidden="false" customHeight="false" outlineLevel="0" collapsed="false">
      <c r="A31" s="14" t="s">
        <v>116</v>
      </c>
      <c r="B31" s="14" t="s">
        <v>117</v>
      </c>
      <c r="C31" s="14" t="s">
        <v>21</v>
      </c>
      <c r="D31" s="15" t="n">
        <v>46040</v>
      </c>
      <c r="E31" s="14" t="n">
        <f aca="false">MONTH(D31)</f>
        <v>1</v>
      </c>
      <c r="F31" s="14" t="s">
        <v>118</v>
      </c>
      <c r="G31" s="14" t="s">
        <v>50</v>
      </c>
      <c r="H31" s="14" t="s">
        <v>119</v>
      </c>
      <c r="I31" s="16" t="n">
        <v>231.5</v>
      </c>
      <c r="J31" s="17" t="n">
        <v>3.6696</v>
      </c>
      <c r="K31" s="18" t="n">
        <v>324.72</v>
      </c>
      <c r="L31" s="18" t="n">
        <v>849.63</v>
      </c>
      <c r="M31" s="18" t="n">
        <f aca="false">IF(J31="","",ROUND(MAX(I31*J31,K31),2))</f>
        <v>849.51</v>
      </c>
      <c r="N31" s="18" t="n">
        <f aca="false">IF(M31="","",ROUND(L31-M31,2))</f>
        <v>0.12</v>
      </c>
      <c r="O31" s="19" t="n">
        <f aca="false">IF(M31="","",N31/M31)</f>
        <v>0.000141257901613872</v>
      </c>
      <c r="P31" s="14" t="str">
        <f aca="false">IF(M31="","SEM TARIFA NO CONTRATO",IF(N31&gt;Resumo!$B$4,"ACIMA DA TABELA",IF(N31&lt;-Resumo!$B$4,"ABAIXO DA TABELA","OK")))</f>
        <v>OK</v>
      </c>
    </row>
    <row r="32" customFormat="false" ht="15" hidden="false" customHeight="false" outlineLevel="0" collapsed="false">
      <c r="A32" s="14" t="s">
        <v>120</v>
      </c>
      <c r="B32" s="14" t="s">
        <v>121</v>
      </c>
      <c r="C32" s="14" t="s">
        <v>24</v>
      </c>
      <c r="D32" s="15" t="n">
        <v>46040</v>
      </c>
      <c r="E32" s="14" t="n">
        <f aca="false">MONTH(D32)</f>
        <v>1</v>
      </c>
      <c r="F32" s="14" t="s">
        <v>67</v>
      </c>
      <c r="G32" s="14" t="s">
        <v>50</v>
      </c>
      <c r="H32" s="14" t="s">
        <v>68</v>
      </c>
      <c r="I32" s="16" t="n">
        <v>382.9</v>
      </c>
      <c r="J32" s="17" t="n">
        <v>1.96</v>
      </c>
      <c r="K32" s="18" t="n">
        <v>192</v>
      </c>
      <c r="L32" s="18" t="n">
        <v>750.78</v>
      </c>
      <c r="M32" s="18" t="n">
        <f aca="false">IF(J32="","",ROUND(MAX(I32*J32,K32),2))</f>
        <v>750.48</v>
      </c>
      <c r="N32" s="18" t="n">
        <f aca="false">IF(M32="","",ROUND(L32-M32,2))</f>
        <v>0.3</v>
      </c>
      <c r="O32" s="19" t="n">
        <f aca="false">IF(M32="","",N32/M32)</f>
        <v>0.000399744163735209</v>
      </c>
      <c r="P32" s="14" t="str">
        <f aca="false">IF(M32="","SEM TARIFA NO CONTRATO",IF(N32&gt;Resumo!$B$4,"ACIMA DA TABELA",IF(N32&lt;-Resumo!$B$4,"ABAIXO DA TABELA","OK")))</f>
        <v>OK</v>
      </c>
    </row>
    <row r="33" customFormat="false" ht="15" hidden="false" customHeight="false" outlineLevel="0" collapsed="false">
      <c r="A33" s="14" t="s">
        <v>122</v>
      </c>
      <c r="B33" s="14" t="s">
        <v>123</v>
      </c>
      <c r="C33" s="14" t="s">
        <v>23</v>
      </c>
      <c r="D33" s="15" t="n">
        <v>46040</v>
      </c>
      <c r="E33" s="14" t="n">
        <f aca="false">MONTH(D33)</f>
        <v>1</v>
      </c>
      <c r="F33" s="14" t="s">
        <v>88</v>
      </c>
      <c r="G33" s="14" t="s">
        <v>50</v>
      </c>
      <c r="H33" s="14" t="s">
        <v>89</v>
      </c>
      <c r="I33" s="16" t="n">
        <v>611.9</v>
      </c>
      <c r="J33" s="17" t="n">
        <v>1.553</v>
      </c>
      <c r="K33" s="18" t="n">
        <v>157.87</v>
      </c>
      <c r="L33" s="18" t="n">
        <v>950</v>
      </c>
      <c r="M33" s="18" t="n">
        <f aca="false">IF(J33="","",ROUND(MAX(I33*J33,K33),2))</f>
        <v>950.28</v>
      </c>
      <c r="N33" s="18" t="n">
        <f aca="false">IF(M33="","",ROUND(L33-M33,2))</f>
        <v>-0.28</v>
      </c>
      <c r="O33" s="19" t="n">
        <f aca="false">IF(M33="","",N33/M33)</f>
        <v>-0.000294649997895357</v>
      </c>
      <c r="P33" s="14" t="str">
        <f aca="false">IF(M33="","SEM TARIFA NO CONTRATO",IF(N33&gt;Resumo!$B$4,"ACIMA DA TABELA",IF(N33&lt;-Resumo!$B$4,"ABAIXO DA TABELA","OK")))</f>
        <v>OK</v>
      </c>
    </row>
    <row r="34" customFormat="false" ht="15" hidden="false" customHeight="false" outlineLevel="0" collapsed="false">
      <c r="A34" s="14" t="s">
        <v>124</v>
      </c>
      <c r="B34" s="14" t="s">
        <v>125</v>
      </c>
      <c r="C34" s="14" t="s">
        <v>24</v>
      </c>
      <c r="D34" s="15" t="n">
        <v>46040</v>
      </c>
      <c r="E34" s="14" t="n">
        <f aca="false">MONTH(D34)</f>
        <v>1</v>
      </c>
      <c r="F34" s="14" t="s">
        <v>79</v>
      </c>
      <c r="G34" s="14" t="s">
        <v>50</v>
      </c>
      <c r="H34" s="14" t="s">
        <v>46</v>
      </c>
      <c r="I34" s="16" t="n">
        <v>309.6</v>
      </c>
      <c r="J34" s="17" t="n">
        <v>0.36</v>
      </c>
      <c r="K34" s="18" t="n">
        <v>72</v>
      </c>
      <c r="L34" s="18" t="n">
        <v>111.82</v>
      </c>
      <c r="M34" s="18" t="n">
        <f aca="false">IF(J34="","",ROUND(MAX(I34*J34,K34),2))</f>
        <v>111.46</v>
      </c>
      <c r="N34" s="18" t="n">
        <f aca="false">IF(M34="","",ROUND(L34-M34,2))</f>
        <v>0.36</v>
      </c>
      <c r="O34" s="19" t="n">
        <f aca="false">IF(M34="","",N34/M34)</f>
        <v>0.00322985824511035</v>
      </c>
      <c r="P34" s="14" t="str">
        <f aca="false">IF(M34="","SEM TARIFA NO CONTRATO",IF(N34&gt;Resumo!$B$4,"ACIMA DA TABELA",IF(N34&lt;-Resumo!$B$4,"ABAIXO DA TABELA","OK")))</f>
        <v>OK</v>
      </c>
    </row>
    <row r="35" customFormat="false" ht="15" hidden="false" customHeight="false" outlineLevel="0" collapsed="false">
      <c r="A35" s="14" t="s">
        <v>126</v>
      </c>
      <c r="B35" s="14" t="s">
        <v>127</v>
      </c>
      <c r="C35" s="14" t="s">
        <v>25</v>
      </c>
      <c r="D35" s="15" t="n">
        <v>46040</v>
      </c>
      <c r="E35" s="14" t="n">
        <f aca="false">MONTH(D35)</f>
        <v>1</v>
      </c>
      <c r="F35" s="14" t="s">
        <v>61</v>
      </c>
      <c r="G35" s="14" t="s">
        <v>50</v>
      </c>
      <c r="H35" s="14" t="s">
        <v>62</v>
      </c>
      <c r="I35" s="16" t="n">
        <v>1206.8</v>
      </c>
      <c r="J35" s="17" t="n">
        <v>0.95</v>
      </c>
      <c r="K35" s="18" t="n">
        <v>114</v>
      </c>
      <c r="L35" s="18" t="n">
        <v>1146.62</v>
      </c>
      <c r="M35" s="18" t="n">
        <f aca="false">IF(J35="","",ROUND(MAX(I35*J35,K35),2))</f>
        <v>1146.46</v>
      </c>
      <c r="N35" s="18" t="n">
        <f aca="false">IF(M35="","",ROUND(L35-M35,2))</f>
        <v>0.16</v>
      </c>
      <c r="O35" s="19" t="n">
        <f aca="false">IF(M35="","",N35/M35)</f>
        <v>0.00013956003698341</v>
      </c>
      <c r="P35" s="14" t="str">
        <f aca="false">IF(M35="","SEM TARIFA NO CONTRATO",IF(N35&gt;Resumo!$B$4,"ACIMA DA TABELA",IF(N35&lt;-Resumo!$B$4,"ABAIXO DA TABELA","OK")))</f>
        <v>OK</v>
      </c>
    </row>
    <row r="36" customFormat="false" ht="15" hidden="false" customHeight="false" outlineLevel="0" collapsed="false">
      <c r="A36" s="14" t="s">
        <v>128</v>
      </c>
      <c r="B36" s="14" t="s">
        <v>129</v>
      </c>
      <c r="C36" s="14" t="s">
        <v>23</v>
      </c>
      <c r="D36" s="15" t="n">
        <v>46040</v>
      </c>
      <c r="E36" s="14" t="n">
        <f aca="false">MONTH(D36)</f>
        <v>1</v>
      </c>
      <c r="F36" s="14" t="s">
        <v>79</v>
      </c>
      <c r="G36" s="14" t="s">
        <v>50</v>
      </c>
      <c r="H36" s="14" t="s">
        <v>46</v>
      </c>
      <c r="I36" s="16" t="n">
        <v>318.2</v>
      </c>
      <c r="J36" s="17" t="n">
        <v>0.3312</v>
      </c>
      <c r="K36" s="18" t="n">
        <v>66.24</v>
      </c>
      <c r="L36" s="18" t="n">
        <v>99.67</v>
      </c>
      <c r="M36" s="18" t="n">
        <f aca="false">IF(J36="","",ROUND(MAX(I36*J36,K36),2))</f>
        <v>105.39</v>
      </c>
      <c r="N36" s="18" t="n">
        <f aca="false">IF(M36="","",ROUND(L36-M36,2))</f>
        <v>-5.72</v>
      </c>
      <c r="O36" s="19" t="n">
        <f aca="false">IF(M36="","",N36/M36)</f>
        <v>-0.0542745991080748</v>
      </c>
      <c r="P36" s="14" t="str">
        <f aca="false">IF(M36="","SEM TARIFA NO CONTRATO",IF(N36&gt;Resumo!$B$4,"ACIMA DA TABELA",IF(N36&lt;-Resumo!$B$4,"ABAIXO DA TABELA","OK")))</f>
        <v>ABAIXO DA TABELA</v>
      </c>
    </row>
    <row r="37" customFormat="false" ht="15" hidden="false" customHeight="false" outlineLevel="0" collapsed="false">
      <c r="A37" s="14" t="s">
        <v>130</v>
      </c>
      <c r="B37" s="14" t="s">
        <v>131</v>
      </c>
      <c r="C37" s="14" t="s">
        <v>23</v>
      </c>
      <c r="D37" s="15" t="n">
        <v>46041</v>
      </c>
      <c r="E37" s="14" t="n">
        <f aca="false">MONTH(D37)</f>
        <v>1</v>
      </c>
      <c r="F37" s="14" t="s">
        <v>49</v>
      </c>
      <c r="G37" s="14" t="s">
        <v>50</v>
      </c>
      <c r="H37" s="14" t="s">
        <v>51</v>
      </c>
      <c r="I37" s="16" t="n">
        <v>993.1</v>
      </c>
      <c r="J37" s="17" t="n">
        <v>4.0848</v>
      </c>
      <c r="K37" s="18" t="n">
        <v>347.76</v>
      </c>
      <c r="L37" s="18" t="n">
        <v>4056.93</v>
      </c>
      <c r="M37" s="18" t="n">
        <f aca="false">IF(J37="","",ROUND(MAX(I37*J37,K37),2))</f>
        <v>4056.61</v>
      </c>
      <c r="N37" s="18" t="n">
        <f aca="false">IF(M37="","",ROUND(L37-M37,2))</f>
        <v>0.32</v>
      </c>
      <c r="O37" s="19" t="n">
        <f aca="false">IF(M37="","",N37/M37)</f>
        <v>7.88835998530793E-005</v>
      </c>
      <c r="P37" s="14" t="str">
        <f aca="false">IF(M37="","SEM TARIFA NO CONTRATO",IF(N37&gt;Resumo!$B$4,"ACIMA DA TABELA",IF(N37&lt;-Resumo!$B$4,"ABAIXO DA TABELA","OK")))</f>
        <v>OK</v>
      </c>
    </row>
    <row r="38" customFormat="false" ht="15" hidden="false" customHeight="false" outlineLevel="0" collapsed="false">
      <c r="A38" s="14" t="s">
        <v>132</v>
      </c>
      <c r="B38" s="14" t="s">
        <v>133</v>
      </c>
      <c r="C38" s="14" t="s">
        <v>25</v>
      </c>
      <c r="D38" s="15" t="n">
        <v>46041</v>
      </c>
      <c r="E38" s="14" t="n">
        <f aca="false">MONTH(D38)</f>
        <v>1</v>
      </c>
      <c r="F38" s="14" t="s">
        <v>56</v>
      </c>
      <c r="G38" s="14" t="s">
        <v>50</v>
      </c>
      <c r="H38" s="14" t="s">
        <v>45</v>
      </c>
      <c r="I38" s="16" t="n">
        <v>1035.7</v>
      </c>
      <c r="J38" s="17" t="n">
        <v>0.8132</v>
      </c>
      <c r="K38" s="18" t="n">
        <v>103.74</v>
      </c>
      <c r="L38" s="18" t="n">
        <v>842.4</v>
      </c>
      <c r="M38" s="18" t="n">
        <f aca="false">IF(J38="","",ROUND(MAX(I38*J38,K38),2))</f>
        <v>842.23</v>
      </c>
      <c r="N38" s="18" t="n">
        <f aca="false">IF(M38="","",ROUND(L38-M38,2))</f>
        <v>0.17</v>
      </c>
      <c r="O38" s="19" t="n">
        <f aca="false">IF(M38="","",N38/M38)</f>
        <v>0.000201845101694312</v>
      </c>
      <c r="P38" s="14" t="str">
        <f aca="false">IF(M38="","SEM TARIFA NO CONTRATO",IF(N38&gt;Resumo!$B$4,"ACIMA DA TABELA",IF(N38&lt;-Resumo!$B$4,"ABAIXO DA TABELA","OK")))</f>
        <v>OK</v>
      </c>
    </row>
    <row r="39" customFormat="false" ht="15" hidden="false" customHeight="false" outlineLevel="0" collapsed="false">
      <c r="A39" s="14" t="s">
        <v>134</v>
      </c>
      <c r="B39" s="14" t="s">
        <v>135</v>
      </c>
      <c r="C39" s="14" t="s">
        <v>24</v>
      </c>
      <c r="D39" s="15" t="n">
        <v>46043</v>
      </c>
      <c r="E39" s="14" t="n">
        <f aca="false">MONTH(D39)</f>
        <v>1</v>
      </c>
      <c r="F39" s="14" t="s">
        <v>79</v>
      </c>
      <c r="G39" s="14" t="s">
        <v>50</v>
      </c>
      <c r="H39" s="14" t="s">
        <v>46</v>
      </c>
      <c r="I39" s="16" t="n">
        <v>266.6</v>
      </c>
      <c r="J39" s="17" t="n">
        <v>0.36</v>
      </c>
      <c r="K39" s="18" t="n">
        <v>72</v>
      </c>
      <c r="L39" s="18" t="n">
        <v>96.11</v>
      </c>
      <c r="M39" s="18" t="n">
        <f aca="false">IF(J39="","",ROUND(MAX(I39*J39,K39),2))</f>
        <v>95.98</v>
      </c>
      <c r="N39" s="18" t="n">
        <f aca="false">IF(M39="","",ROUND(L39-M39,2))</f>
        <v>0.13</v>
      </c>
      <c r="O39" s="19" t="n">
        <f aca="false">IF(M39="","",N39/M39)</f>
        <v>0.00135444884350906</v>
      </c>
      <c r="P39" s="14" t="str">
        <f aca="false">IF(M39="","SEM TARIFA NO CONTRATO",IF(N39&gt;Resumo!$B$4,"ACIMA DA TABELA",IF(N39&lt;-Resumo!$B$4,"ABAIXO DA TABELA","OK")))</f>
        <v>OK</v>
      </c>
    </row>
    <row r="40" customFormat="false" ht="15" hidden="false" customHeight="false" outlineLevel="0" collapsed="false">
      <c r="A40" s="14" t="s">
        <v>136</v>
      </c>
      <c r="B40" s="14" t="s">
        <v>137</v>
      </c>
      <c r="C40" s="14" t="s">
        <v>22</v>
      </c>
      <c r="D40" s="15" t="n">
        <v>46043</v>
      </c>
      <c r="E40" s="14" t="n">
        <f aca="false">MONTH(D40)</f>
        <v>1</v>
      </c>
      <c r="F40" s="14" t="s">
        <v>104</v>
      </c>
      <c r="G40" s="14" t="s">
        <v>45</v>
      </c>
      <c r="H40" s="14" t="s">
        <v>68</v>
      </c>
      <c r="I40" s="16" t="n">
        <v>75.2</v>
      </c>
      <c r="J40" s="17" t="n">
        <v>1.386</v>
      </c>
      <c r="K40" s="18" t="n">
        <v>151.2</v>
      </c>
      <c r="L40" s="18" t="n">
        <v>151.57</v>
      </c>
      <c r="M40" s="18" t="n">
        <f aca="false">IF(J40="","",ROUND(MAX(I40*J40,K40),2))</f>
        <v>151.2</v>
      </c>
      <c r="N40" s="18" t="n">
        <f aca="false">IF(M40="","",ROUND(L40-M40,2))</f>
        <v>0.37</v>
      </c>
      <c r="O40" s="19" t="n">
        <f aca="false">IF(M40="","",N40/M40)</f>
        <v>0.00244708994708995</v>
      </c>
      <c r="P40" s="14" t="str">
        <f aca="false">IF(M40="","SEM TARIFA NO CONTRATO",IF(N40&gt;Resumo!$B$4,"ACIMA DA TABELA",IF(N40&lt;-Resumo!$B$4,"ABAIXO DA TABELA","OK")))</f>
        <v>OK</v>
      </c>
    </row>
    <row r="41" customFormat="false" ht="15" hidden="false" customHeight="false" outlineLevel="0" collapsed="false">
      <c r="A41" s="14" t="s">
        <v>138</v>
      </c>
      <c r="B41" s="14" t="s">
        <v>139</v>
      </c>
      <c r="C41" s="14" t="s">
        <v>25</v>
      </c>
      <c r="D41" s="15" t="n">
        <v>46043</v>
      </c>
      <c r="E41" s="14" t="n">
        <f aca="false">MONTH(D41)</f>
        <v>1</v>
      </c>
      <c r="F41" s="14" t="s">
        <v>56</v>
      </c>
      <c r="G41" s="14" t="s">
        <v>50</v>
      </c>
      <c r="H41" s="14" t="s">
        <v>45</v>
      </c>
      <c r="I41" s="16" t="n">
        <v>384.2</v>
      </c>
      <c r="J41" s="17" t="n">
        <v>0.8132</v>
      </c>
      <c r="K41" s="18" t="n">
        <v>103.74</v>
      </c>
      <c r="L41" s="18" t="n">
        <v>312.14</v>
      </c>
      <c r="M41" s="18" t="n">
        <f aca="false">IF(J41="","",ROUND(MAX(I41*J41,K41),2))</f>
        <v>312.43</v>
      </c>
      <c r="N41" s="18" t="n">
        <f aca="false">IF(M41="","",ROUND(L41-M41,2))</f>
        <v>-0.29</v>
      </c>
      <c r="O41" s="19" t="n">
        <f aca="false">IF(M41="","",N41/M41)</f>
        <v>-0.000928207918573761</v>
      </c>
      <c r="P41" s="14" t="str">
        <f aca="false">IF(M41="","SEM TARIFA NO CONTRATO",IF(N41&gt;Resumo!$B$4,"ACIMA DA TABELA",IF(N41&lt;-Resumo!$B$4,"ABAIXO DA TABELA","OK")))</f>
        <v>OK</v>
      </c>
    </row>
    <row r="42" customFormat="false" ht="15" hidden="false" customHeight="false" outlineLevel="0" collapsed="false">
      <c r="A42" s="14" t="s">
        <v>140</v>
      </c>
      <c r="B42" s="14" t="s">
        <v>141</v>
      </c>
      <c r="C42" s="14" t="s">
        <v>25</v>
      </c>
      <c r="D42" s="15" t="n">
        <v>46044</v>
      </c>
      <c r="E42" s="14" t="n">
        <f aca="false">MONTH(D42)</f>
        <v>1</v>
      </c>
      <c r="F42" s="14" t="s">
        <v>88</v>
      </c>
      <c r="G42" s="14" t="s">
        <v>50</v>
      </c>
      <c r="H42" s="14" t="s">
        <v>89</v>
      </c>
      <c r="I42" s="16" t="n">
        <v>692.1</v>
      </c>
      <c r="J42" s="17" t="n">
        <v>1.6036</v>
      </c>
      <c r="K42" s="18" t="n">
        <v>163.02</v>
      </c>
      <c r="L42" s="18" t="n">
        <v>1110.07</v>
      </c>
      <c r="M42" s="18" t="n">
        <f aca="false">IF(J42="","",ROUND(MAX(I42*J42,K42),2))</f>
        <v>1109.85</v>
      </c>
      <c r="N42" s="18" t="n">
        <f aca="false">IF(M42="","",ROUND(L42-M42,2))</f>
        <v>0.22</v>
      </c>
      <c r="O42" s="19" t="n">
        <f aca="false">IF(M42="","",N42/M42)</f>
        <v>0.000198224985358382</v>
      </c>
      <c r="P42" s="14" t="str">
        <f aca="false">IF(M42="","SEM TARIFA NO CONTRATO",IF(N42&gt;Resumo!$B$4,"ACIMA DA TABELA",IF(N42&lt;-Resumo!$B$4,"ABAIXO DA TABELA","OK")))</f>
        <v>OK</v>
      </c>
    </row>
    <row r="43" customFormat="false" ht="15" hidden="false" customHeight="false" outlineLevel="0" collapsed="false">
      <c r="A43" s="14" t="s">
        <v>142</v>
      </c>
      <c r="B43" s="14" t="s">
        <v>143</v>
      </c>
      <c r="C43" s="14" t="s">
        <v>25</v>
      </c>
      <c r="D43" s="15" t="n">
        <v>46044</v>
      </c>
      <c r="E43" s="14" t="n">
        <f aca="false">MONTH(D43)</f>
        <v>1</v>
      </c>
      <c r="F43" s="14" t="s">
        <v>104</v>
      </c>
      <c r="G43" s="14" t="s">
        <v>45</v>
      </c>
      <c r="H43" s="14" t="s">
        <v>68</v>
      </c>
      <c r="I43" s="16" t="n">
        <v>1010.9</v>
      </c>
      <c r="J43" s="17" t="n">
        <v>1.254</v>
      </c>
      <c r="K43" s="18" t="n">
        <v>136.8</v>
      </c>
      <c r="L43" s="18" t="n">
        <v>1267.44</v>
      </c>
      <c r="M43" s="18" t="n">
        <f aca="false">IF(J43="","",ROUND(MAX(I43*J43,K43),2))</f>
        <v>1267.67</v>
      </c>
      <c r="N43" s="18" t="n">
        <f aca="false">IF(M43="","",ROUND(L43-M43,2))</f>
        <v>-0.23</v>
      </c>
      <c r="O43" s="19" t="n">
        <f aca="false">IF(M43="","",N43/M43)</f>
        <v>-0.000181435231566575</v>
      </c>
      <c r="P43" s="14" t="str">
        <f aca="false">IF(M43="","SEM TARIFA NO CONTRATO",IF(N43&gt;Resumo!$B$4,"ACIMA DA TABELA",IF(N43&lt;-Resumo!$B$4,"ABAIXO DA TABELA","OK")))</f>
        <v>OK</v>
      </c>
    </row>
    <row r="44" customFormat="false" ht="15" hidden="false" customHeight="false" outlineLevel="0" collapsed="false">
      <c r="A44" s="14" t="s">
        <v>144</v>
      </c>
      <c r="B44" s="14" t="s">
        <v>145</v>
      </c>
      <c r="C44" s="14" t="s">
        <v>25</v>
      </c>
      <c r="D44" s="15" t="n">
        <v>46045</v>
      </c>
      <c r="E44" s="14" t="n">
        <f aca="false">MONTH(D44)</f>
        <v>1</v>
      </c>
      <c r="F44" s="14" t="s">
        <v>73</v>
      </c>
      <c r="G44" s="14" t="s">
        <v>50</v>
      </c>
      <c r="H44" s="14" t="s">
        <v>74</v>
      </c>
      <c r="I44" s="16" t="n">
        <v>1058.7</v>
      </c>
      <c r="J44" s="17" t="n">
        <v>1.0868</v>
      </c>
      <c r="K44" s="18" t="n">
        <v>124.26</v>
      </c>
      <c r="L44" s="18" t="n">
        <v>1150.97</v>
      </c>
      <c r="M44" s="18" t="n">
        <f aca="false">IF(J44="","",ROUND(MAX(I44*J44,K44),2))</f>
        <v>1150.6</v>
      </c>
      <c r="N44" s="18" t="n">
        <f aca="false">IF(M44="","",ROUND(L44-M44,2))</f>
        <v>0.37</v>
      </c>
      <c r="O44" s="19" t="n">
        <f aca="false">IF(M44="","",N44/M44)</f>
        <v>0.000321571354076134</v>
      </c>
      <c r="P44" s="14" t="str">
        <f aca="false">IF(M44="","SEM TARIFA NO CONTRATO",IF(N44&gt;Resumo!$B$4,"ACIMA DA TABELA",IF(N44&lt;-Resumo!$B$4,"ABAIXO DA TABELA","OK")))</f>
        <v>OK</v>
      </c>
    </row>
    <row r="45" customFormat="false" ht="15" hidden="false" customHeight="false" outlineLevel="0" collapsed="false">
      <c r="A45" s="14" t="s">
        <v>146</v>
      </c>
      <c r="B45" s="14" t="s">
        <v>147</v>
      </c>
      <c r="C45" s="14" t="s">
        <v>25</v>
      </c>
      <c r="D45" s="15" t="n">
        <v>46046</v>
      </c>
      <c r="E45" s="14" t="n">
        <f aca="false">MONTH(D45)</f>
        <v>1</v>
      </c>
      <c r="F45" s="14" t="s">
        <v>79</v>
      </c>
      <c r="G45" s="14" t="s">
        <v>50</v>
      </c>
      <c r="H45" s="14" t="s">
        <v>46</v>
      </c>
      <c r="I45" s="16" t="n">
        <v>1647.9</v>
      </c>
      <c r="J45" s="17" t="n">
        <v>0.342</v>
      </c>
      <c r="K45" s="18" t="n">
        <v>68.4</v>
      </c>
      <c r="L45" s="18" t="n">
        <v>563.84</v>
      </c>
      <c r="M45" s="18" t="n">
        <f aca="false">IF(J45="","",ROUND(MAX(I45*J45,K45),2))</f>
        <v>563.58</v>
      </c>
      <c r="N45" s="18" t="n">
        <f aca="false">IF(M45="","",ROUND(L45-M45,2))</f>
        <v>0.26</v>
      </c>
      <c r="O45" s="19" t="n">
        <f aca="false">IF(M45="","",N45/M45)</f>
        <v>0.000461336456226268</v>
      </c>
      <c r="P45" s="14" t="str">
        <f aca="false">IF(M45="","SEM TARIFA NO CONTRATO",IF(N45&gt;Resumo!$B$4,"ACIMA DA TABELA",IF(N45&lt;-Resumo!$B$4,"ABAIXO DA TABELA","OK")))</f>
        <v>OK</v>
      </c>
    </row>
    <row r="46" customFormat="false" ht="15" hidden="false" customHeight="false" outlineLevel="0" collapsed="false">
      <c r="A46" s="14" t="s">
        <v>148</v>
      </c>
      <c r="B46" s="14" t="s">
        <v>149</v>
      </c>
      <c r="C46" s="14" t="s">
        <v>21</v>
      </c>
      <c r="D46" s="15" t="n">
        <v>46046</v>
      </c>
      <c r="E46" s="14" t="n">
        <f aca="false">MONTH(D46)</f>
        <v>1</v>
      </c>
      <c r="F46" s="14" t="s">
        <v>88</v>
      </c>
      <c r="G46" s="14" t="s">
        <v>50</v>
      </c>
      <c r="H46" s="14" t="s">
        <v>89</v>
      </c>
      <c r="I46" s="16" t="n">
        <v>688.4</v>
      </c>
      <c r="J46" s="17" t="n">
        <v>1.8568</v>
      </c>
      <c r="K46" s="18" t="n">
        <v>188.76</v>
      </c>
      <c r="L46" s="18" t="n">
        <v>1490.28</v>
      </c>
      <c r="M46" s="18" t="n">
        <f aca="false">IF(J46="","",ROUND(MAX(I46*J46,K46),2))</f>
        <v>1278.22</v>
      </c>
      <c r="N46" s="18" t="n">
        <f aca="false">IF(M46="","",ROUND(L46-M46,2))</f>
        <v>212.06</v>
      </c>
      <c r="O46" s="19" t="n">
        <f aca="false">IF(M46="","",N46/M46)</f>
        <v>0.165902583279874</v>
      </c>
      <c r="P46" s="14" t="str">
        <f aca="false">IF(M46="","SEM TARIFA NO CONTRATO",IF(N46&gt;Resumo!$B$4,"ACIMA DA TABELA",IF(N46&lt;-Resumo!$B$4,"ABAIXO DA TABELA","OK")))</f>
        <v>ACIMA DA TABELA</v>
      </c>
    </row>
    <row r="47" customFormat="false" ht="15" hidden="false" customHeight="false" outlineLevel="0" collapsed="false">
      <c r="A47" s="14" t="s">
        <v>150</v>
      </c>
      <c r="B47" s="14" t="s">
        <v>151</v>
      </c>
      <c r="C47" s="14" t="s">
        <v>24</v>
      </c>
      <c r="D47" s="15" t="n">
        <v>46047</v>
      </c>
      <c r="E47" s="14" t="n">
        <f aca="false">MONTH(D47)</f>
        <v>1</v>
      </c>
      <c r="F47" s="14" t="s">
        <v>79</v>
      </c>
      <c r="G47" s="14" t="s">
        <v>50</v>
      </c>
      <c r="H47" s="14" t="s">
        <v>46</v>
      </c>
      <c r="I47" s="16" t="n">
        <v>255</v>
      </c>
      <c r="J47" s="17" t="n">
        <v>0.36</v>
      </c>
      <c r="K47" s="18" t="n">
        <v>72</v>
      </c>
      <c r="L47" s="18" t="n">
        <v>92.18</v>
      </c>
      <c r="M47" s="18" t="n">
        <f aca="false">IF(J47="","",ROUND(MAX(I47*J47,K47),2))</f>
        <v>91.8</v>
      </c>
      <c r="N47" s="18" t="n">
        <f aca="false">IF(M47="","",ROUND(L47-M47,2))</f>
        <v>0.38</v>
      </c>
      <c r="O47" s="19" t="n">
        <f aca="false">IF(M47="","",N47/M47)</f>
        <v>0.00413943355119826</v>
      </c>
      <c r="P47" s="14" t="str">
        <f aca="false">IF(M47="","SEM TARIFA NO CONTRATO",IF(N47&gt;Resumo!$B$4,"ACIMA DA TABELA",IF(N47&lt;-Resumo!$B$4,"ABAIXO DA TABELA","OK")))</f>
        <v>OK</v>
      </c>
    </row>
    <row r="48" customFormat="false" ht="15" hidden="false" customHeight="false" outlineLevel="0" collapsed="false">
      <c r="A48" s="14" t="s">
        <v>152</v>
      </c>
      <c r="B48" s="14" t="s">
        <v>153</v>
      </c>
      <c r="C48" s="14" t="s">
        <v>21</v>
      </c>
      <c r="D48" s="15" t="n">
        <v>46047</v>
      </c>
      <c r="E48" s="14" t="n">
        <f aca="false">MONTH(D48)</f>
        <v>1</v>
      </c>
      <c r="F48" s="14" t="s">
        <v>49</v>
      </c>
      <c r="G48" s="14" t="s">
        <v>50</v>
      </c>
      <c r="H48" s="14" t="s">
        <v>51</v>
      </c>
      <c r="I48" s="16" t="n">
        <v>573.8</v>
      </c>
      <c r="J48" s="17" t="n">
        <v>4.884</v>
      </c>
      <c r="K48" s="18" t="n">
        <v>415.8</v>
      </c>
      <c r="L48" s="18" t="n">
        <v>2802.13</v>
      </c>
      <c r="M48" s="18" t="n">
        <f aca="false">IF(J48="","",ROUND(MAX(I48*J48,K48),2))</f>
        <v>2802.44</v>
      </c>
      <c r="N48" s="18" t="n">
        <f aca="false">IF(M48="","",ROUND(L48-M48,2))</f>
        <v>-0.31</v>
      </c>
      <c r="O48" s="19" t="n">
        <f aca="false">IF(M48="","",N48/M48)</f>
        <v>-0.00011061789012432</v>
      </c>
      <c r="P48" s="14" t="str">
        <f aca="false">IF(M48="","SEM TARIFA NO CONTRATO",IF(N48&gt;Resumo!$B$4,"ACIMA DA TABELA",IF(N48&lt;-Resumo!$B$4,"ABAIXO DA TABELA","OK")))</f>
        <v>OK</v>
      </c>
    </row>
    <row r="49" customFormat="false" ht="15" hidden="false" customHeight="false" outlineLevel="0" collapsed="false">
      <c r="A49" s="14" t="s">
        <v>154</v>
      </c>
      <c r="B49" s="14" t="s">
        <v>155</v>
      </c>
      <c r="C49" s="14" t="s">
        <v>25</v>
      </c>
      <c r="D49" s="15" t="n">
        <v>46047</v>
      </c>
      <c r="E49" s="14" t="n">
        <f aca="false">MONTH(D49)</f>
        <v>1</v>
      </c>
      <c r="F49" s="14" t="s">
        <v>44</v>
      </c>
      <c r="G49" s="14" t="s">
        <v>45</v>
      </c>
      <c r="H49" s="14" t="s">
        <v>46</v>
      </c>
      <c r="I49" s="16" t="n">
        <v>1444</v>
      </c>
      <c r="J49" s="17" t="n">
        <v>0.8132</v>
      </c>
      <c r="K49" s="18" t="n">
        <v>103.74</v>
      </c>
      <c r="L49" s="18" t="n">
        <v>1174.63</v>
      </c>
      <c r="M49" s="18" t="n">
        <f aca="false">IF(J49="","",ROUND(MAX(I49*J49,K49),2))</f>
        <v>1174.26</v>
      </c>
      <c r="N49" s="18" t="n">
        <f aca="false">IF(M49="","",ROUND(L49-M49,2))</f>
        <v>0.37</v>
      </c>
      <c r="O49" s="19" t="n">
        <f aca="false">IF(M49="","",N49/M49)</f>
        <v>0.000315092057976939</v>
      </c>
      <c r="P49" s="14" t="str">
        <f aca="false">IF(M49="","SEM TARIFA NO CONTRATO",IF(N49&gt;Resumo!$B$4,"ACIMA DA TABELA",IF(N49&lt;-Resumo!$B$4,"ABAIXO DA TABELA","OK")))</f>
        <v>OK</v>
      </c>
    </row>
    <row r="50" customFormat="false" ht="15" hidden="false" customHeight="false" outlineLevel="0" collapsed="false">
      <c r="A50" s="14" t="s">
        <v>156</v>
      </c>
      <c r="B50" s="14" t="s">
        <v>157</v>
      </c>
      <c r="C50" s="14" t="s">
        <v>23</v>
      </c>
      <c r="D50" s="15" t="n">
        <v>46048</v>
      </c>
      <c r="E50" s="14" t="n">
        <f aca="false">MONTH(D50)</f>
        <v>1</v>
      </c>
      <c r="F50" s="14" t="s">
        <v>56</v>
      </c>
      <c r="G50" s="14" t="s">
        <v>50</v>
      </c>
      <c r="H50" s="14" t="s">
        <v>45</v>
      </c>
      <c r="I50" s="16" t="n">
        <v>284.1</v>
      </c>
      <c r="J50" s="17" t="n">
        <v>0.7875</v>
      </c>
      <c r="K50" s="18" t="n">
        <v>100.46</v>
      </c>
      <c r="L50" s="18" t="n">
        <v>223.69</v>
      </c>
      <c r="M50" s="18" t="n">
        <f aca="false">IF(J50="","",ROUND(MAX(I50*J50,K50),2))</f>
        <v>223.73</v>
      </c>
      <c r="N50" s="18" t="n">
        <f aca="false">IF(M50="","",ROUND(L50-M50,2))</f>
        <v>-0.04</v>
      </c>
      <c r="O50" s="19" t="n">
        <f aca="false">IF(M50="","",N50/M50)</f>
        <v>-0.000178786930675368</v>
      </c>
      <c r="P50" s="14" t="str">
        <f aca="false">IF(M50="","SEM TARIFA NO CONTRATO",IF(N50&gt;Resumo!$B$4,"ACIMA DA TABELA",IF(N50&lt;-Resumo!$B$4,"ABAIXO DA TABELA","OK")))</f>
        <v>OK</v>
      </c>
    </row>
    <row r="51" customFormat="false" ht="15" hidden="false" customHeight="false" outlineLevel="0" collapsed="false">
      <c r="A51" s="14" t="s">
        <v>158</v>
      </c>
      <c r="B51" s="14" t="s">
        <v>159</v>
      </c>
      <c r="C51" s="14" t="s">
        <v>24</v>
      </c>
      <c r="D51" s="15" t="n">
        <v>46048</v>
      </c>
      <c r="E51" s="14" t="n">
        <f aca="false">MONTH(D51)</f>
        <v>1</v>
      </c>
      <c r="F51" s="14" t="s">
        <v>79</v>
      </c>
      <c r="G51" s="14" t="s">
        <v>50</v>
      </c>
      <c r="H51" s="14" t="s">
        <v>46</v>
      </c>
      <c r="I51" s="16" t="n">
        <v>291.2</v>
      </c>
      <c r="J51" s="17" t="n">
        <v>0.36</v>
      </c>
      <c r="K51" s="18" t="n">
        <v>72</v>
      </c>
      <c r="L51" s="18" t="n">
        <v>104.92</v>
      </c>
      <c r="M51" s="18" t="n">
        <f aca="false">IF(J51="","",ROUND(MAX(I51*J51,K51),2))</f>
        <v>104.83</v>
      </c>
      <c r="N51" s="18" t="n">
        <f aca="false">IF(M51="","",ROUND(L51-M51,2))</f>
        <v>0.09</v>
      </c>
      <c r="O51" s="19" t="n">
        <f aca="false">IF(M51="","",N51/M51)</f>
        <v>0.000858532862730135</v>
      </c>
      <c r="P51" s="14" t="str">
        <f aca="false">IF(M51="","SEM TARIFA NO CONTRATO",IF(N51&gt;Resumo!$B$4,"ACIMA DA TABELA",IF(N51&lt;-Resumo!$B$4,"ABAIXO DA TABELA","OK")))</f>
        <v>OK</v>
      </c>
    </row>
    <row r="52" customFormat="false" ht="15" hidden="false" customHeight="false" outlineLevel="0" collapsed="false">
      <c r="A52" s="14" t="s">
        <v>160</v>
      </c>
      <c r="B52" s="14" t="s">
        <v>161</v>
      </c>
      <c r="C52" s="14" t="s">
        <v>24</v>
      </c>
      <c r="D52" s="15" t="n">
        <v>46048</v>
      </c>
      <c r="E52" s="14" t="n">
        <f aca="false">MONTH(D52)</f>
        <v>1</v>
      </c>
      <c r="F52" s="14" t="s">
        <v>56</v>
      </c>
      <c r="G52" s="14" t="s">
        <v>50</v>
      </c>
      <c r="H52" s="14" t="s">
        <v>45</v>
      </c>
      <c r="I52" s="16" t="n">
        <v>148</v>
      </c>
      <c r="J52" s="17" t="n">
        <v>0.856</v>
      </c>
      <c r="K52" s="18" t="n">
        <v>109.2</v>
      </c>
      <c r="L52" s="18" t="n">
        <v>118.41</v>
      </c>
      <c r="M52" s="18" t="n">
        <f aca="false">IF(J52="","",ROUND(MAX(I52*J52,K52),2))</f>
        <v>126.69</v>
      </c>
      <c r="N52" s="18" t="n">
        <f aca="false">IF(M52="","",ROUND(L52-M52,2))</f>
        <v>-8.28</v>
      </c>
      <c r="O52" s="19" t="n">
        <f aca="false">IF(M52="","",N52/M52)</f>
        <v>-0.065356381719157</v>
      </c>
      <c r="P52" s="14" t="str">
        <f aca="false">IF(M52="","SEM TARIFA NO CONTRATO",IF(N52&gt;Resumo!$B$4,"ACIMA DA TABELA",IF(N52&lt;-Resumo!$B$4,"ABAIXO DA TABELA","OK")))</f>
        <v>ABAIXO DA TABELA</v>
      </c>
    </row>
    <row r="53" customFormat="false" ht="15" hidden="false" customHeight="false" outlineLevel="0" collapsed="false">
      <c r="A53" s="14" t="s">
        <v>162</v>
      </c>
      <c r="B53" s="14" t="s">
        <v>163</v>
      </c>
      <c r="C53" s="14" t="s">
        <v>22</v>
      </c>
      <c r="D53" s="15" t="n">
        <v>46048</v>
      </c>
      <c r="E53" s="14" t="n">
        <f aca="false">MONTH(D53)</f>
        <v>1</v>
      </c>
      <c r="F53" s="14" t="s">
        <v>67</v>
      </c>
      <c r="G53" s="14" t="s">
        <v>50</v>
      </c>
      <c r="H53" s="14" t="s">
        <v>68</v>
      </c>
      <c r="I53" s="16" t="n">
        <v>291.9</v>
      </c>
      <c r="J53" s="17" t="n">
        <v>2.058</v>
      </c>
      <c r="K53" s="18" t="n">
        <v>201.6</v>
      </c>
      <c r="L53" s="18" t="n">
        <v>600.39</v>
      </c>
      <c r="M53" s="18" t="n">
        <f aca="false">IF(J53="","",ROUND(MAX(I53*J53,K53),2))</f>
        <v>600.73</v>
      </c>
      <c r="N53" s="18" t="n">
        <f aca="false">IF(M53="","",ROUND(L53-M53,2))</f>
        <v>-0.34</v>
      </c>
      <c r="O53" s="19" t="n">
        <f aca="false">IF(M53="","",N53/M53)</f>
        <v>-0.000565978060026967</v>
      </c>
      <c r="P53" s="14" t="str">
        <f aca="false">IF(M53="","SEM TARIFA NO CONTRATO",IF(N53&gt;Resumo!$B$4,"ACIMA DA TABELA",IF(N53&lt;-Resumo!$B$4,"ABAIXO DA TABELA","OK")))</f>
        <v>OK</v>
      </c>
    </row>
    <row r="54" customFormat="false" ht="15" hidden="false" customHeight="false" outlineLevel="0" collapsed="false">
      <c r="A54" s="14" t="s">
        <v>164</v>
      </c>
      <c r="B54" s="14" t="s">
        <v>165</v>
      </c>
      <c r="C54" s="14" t="s">
        <v>25</v>
      </c>
      <c r="D54" s="15" t="n">
        <v>46048</v>
      </c>
      <c r="E54" s="14" t="n">
        <f aca="false">MONTH(D54)</f>
        <v>1</v>
      </c>
      <c r="F54" s="14" t="s">
        <v>56</v>
      </c>
      <c r="G54" s="14" t="s">
        <v>50</v>
      </c>
      <c r="H54" s="14" t="s">
        <v>45</v>
      </c>
      <c r="I54" s="16" t="n">
        <v>545</v>
      </c>
      <c r="J54" s="17" t="n">
        <v>0.8132</v>
      </c>
      <c r="K54" s="18" t="n">
        <v>103.74</v>
      </c>
      <c r="L54" s="18" t="n">
        <v>443.11</v>
      </c>
      <c r="M54" s="18" t="n">
        <f aca="false">IF(J54="","",ROUND(MAX(I54*J54,K54),2))</f>
        <v>443.19</v>
      </c>
      <c r="N54" s="18" t="n">
        <f aca="false">IF(M54="","",ROUND(L54-M54,2))</f>
        <v>-0.08</v>
      </c>
      <c r="O54" s="19" t="n">
        <f aca="false">IF(M54="","",N54/M54)</f>
        <v>-0.000180509488029965</v>
      </c>
      <c r="P54" s="14" t="str">
        <f aca="false">IF(M54="","SEM TARIFA NO CONTRATO",IF(N54&gt;Resumo!$B$4,"ACIMA DA TABELA",IF(N54&lt;-Resumo!$B$4,"ABAIXO DA TABELA","OK")))</f>
        <v>OK</v>
      </c>
    </row>
    <row r="55" customFormat="false" ht="15" hidden="false" customHeight="false" outlineLevel="0" collapsed="false">
      <c r="A55" s="14" t="s">
        <v>166</v>
      </c>
      <c r="B55" s="14" t="s">
        <v>167</v>
      </c>
      <c r="C55" s="14" t="s">
        <v>25</v>
      </c>
      <c r="D55" s="15" t="n">
        <v>46050</v>
      </c>
      <c r="E55" s="14" t="n">
        <f aca="false">MONTH(D55)</f>
        <v>1</v>
      </c>
      <c r="F55" s="14" t="s">
        <v>104</v>
      </c>
      <c r="G55" s="14" t="s">
        <v>45</v>
      </c>
      <c r="H55" s="14" t="s">
        <v>68</v>
      </c>
      <c r="I55" s="16" t="n">
        <v>161.5</v>
      </c>
      <c r="J55" s="17" t="n">
        <v>1.254</v>
      </c>
      <c r="K55" s="18" t="n">
        <v>136.8</v>
      </c>
      <c r="L55" s="18" t="n">
        <v>202.6</v>
      </c>
      <c r="M55" s="18" t="n">
        <f aca="false">IF(J55="","",ROUND(MAX(I55*J55,K55),2))</f>
        <v>202.52</v>
      </c>
      <c r="N55" s="18" t="n">
        <f aca="false">IF(M55="","",ROUND(L55-M55,2))</f>
        <v>0.08</v>
      </c>
      <c r="O55" s="19" t="n">
        <f aca="false">IF(M55="","",N55/M55)</f>
        <v>0.000395022713806044</v>
      </c>
      <c r="P55" s="14" t="str">
        <f aca="false">IF(M55="","SEM TARIFA NO CONTRATO",IF(N55&gt;Resumo!$B$4,"ACIMA DA TABELA",IF(N55&lt;-Resumo!$B$4,"ABAIXO DA TABELA","OK")))</f>
        <v>OK</v>
      </c>
    </row>
    <row r="56" customFormat="false" ht="15" hidden="false" customHeight="false" outlineLevel="0" collapsed="false">
      <c r="A56" s="14" t="s">
        <v>168</v>
      </c>
      <c r="B56" s="14" t="s">
        <v>169</v>
      </c>
      <c r="C56" s="14" t="s">
        <v>25</v>
      </c>
      <c r="D56" s="15" t="n">
        <v>46051</v>
      </c>
      <c r="E56" s="14" t="n">
        <f aca="false">MONTH(D56)</f>
        <v>1</v>
      </c>
      <c r="F56" s="14" t="s">
        <v>73</v>
      </c>
      <c r="G56" s="14" t="s">
        <v>50</v>
      </c>
      <c r="H56" s="14" t="s">
        <v>74</v>
      </c>
      <c r="I56" s="16" t="n">
        <v>384.9</v>
      </c>
      <c r="J56" s="17" t="n">
        <v>1.0868</v>
      </c>
      <c r="K56" s="18" t="n">
        <v>124.26</v>
      </c>
      <c r="L56" s="18" t="n">
        <v>459.72</v>
      </c>
      <c r="M56" s="18" t="n">
        <f aca="false">IF(J56="","",ROUND(MAX(I56*J56,K56),2))</f>
        <v>418.31</v>
      </c>
      <c r="N56" s="18" t="n">
        <f aca="false">IF(M56="","",ROUND(L56-M56,2))</f>
        <v>41.41</v>
      </c>
      <c r="O56" s="19" t="n">
        <f aca="false">IF(M56="","",N56/M56)</f>
        <v>0.0989935693624345</v>
      </c>
      <c r="P56" s="14" t="str">
        <f aca="false">IF(M56="","SEM TARIFA NO CONTRATO",IF(N56&gt;Resumo!$B$4,"ACIMA DA TABELA",IF(N56&lt;-Resumo!$B$4,"ABAIXO DA TABELA","OK")))</f>
        <v>ACIMA DA TABELA</v>
      </c>
    </row>
    <row r="57" customFormat="false" ht="15" hidden="false" customHeight="false" outlineLevel="0" collapsed="false">
      <c r="A57" s="14" t="s">
        <v>170</v>
      </c>
      <c r="B57" s="14" t="s">
        <v>171</v>
      </c>
      <c r="C57" s="14" t="s">
        <v>24</v>
      </c>
      <c r="D57" s="15" t="n">
        <v>46052</v>
      </c>
      <c r="E57" s="14" t="n">
        <f aca="false">MONTH(D57)</f>
        <v>1</v>
      </c>
      <c r="F57" s="14" t="s">
        <v>73</v>
      </c>
      <c r="G57" s="14" t="s">
        <v>50</v>
      </c>
      <c r="H57" s="14" t="s">
        <v>74</v>
      </c>
      <c r="I57" s="16" t="n">
        <v>1214.4</v>
      </c>
      <c r="J57" s="17" t="n">
        <v>1.144</v>
      </c>
      <c r="K57" s="18" t="n">
        <v>130.8</v>
      </c>
      <c r="L57" s="18" t="n">
        <v>1389.16</v>
      </c>
      <c r="M57" s="18" t="n">
        <f aca="false">IF(J57="","",ROUND(MAX(I57*J57,K57),2))</f>
        <v>1389.27</v>
      </c>
      <c r="N57" s="18" t="n">
        <f aca="false">IF(M57="","",ROUND(L57-M57,2))</f>
        <v>-0.11</v>
      </c>
      <c r="O57" s="19" t="n">
        <f aca="false">IF(M57="","",N57/M57)</f>
        <v>-7.91782734817566E-005</v>
      </c>
      <c r="P57" s="14" t="str">
        <f aca="false">IF(M57="","SEM TARIFA NO CONTRATO",IF(N57&gt;Resumo!$B$4,"ACIMA DA TABELA",IF(N57&lt;-Resumo!$B$4,"ABAIXO DA TABELA","OK")))</f>
        <v>OK</v>
      </c>
    </row>
    <row r="58" customFormat="false" ht="15" hidden="false" customHeight="false" outlineLevel="0" collapsed="false">
      <c r="A58" s="14" t="s">
        <v>172</v>
      </c>
      <c r="B58" s="14" t="s">
        <v>173</v>
      </c>
      <c r="C58" s="14" t="s">
        <v>23</v>
      </c>
      <c r="D58" s="15" t="n">
        <v>46052</v>
      </c>
      <c r="E58" s="14" t="n">
        <f aca="false">MONTH(D58)</f>
        <v>1</v>
      </c>
      <c r="F58" s="14" t="s">
        <v>56</v>
      </c>
      <c r="G58" s="14" t="s">
        <v>50</v>
      </c>
      <c r="H58" s="14" t="s">
        <v>45</v>
      </c>
      <c r="I58" s="16" t="n">
        <v>241.9</v>
      </c>
      <c r="J58" s="17" t="n">
        <v>0.7875</v>
      </c>
      <c r="K58" s="18" t="n">
        <v>100.46</v>
      </c>
      <c r="L58" s="18" t="n">
        <v>190.83</v>
      </c>
      <c r="M58" s="18" t="n">
        <f aca="false">IF(J58="","",ROUND(MAX(I58*J58,K58),2))</f>
        <v>190.5</v>
      </c>
      <c r="N58" s="18" t="n">
        <f aca="false">IF(M58="","",ROUND(L58-M58,2))</f>
        <v>0.33</v>
      </c>
      <c r="O58" s="19" t="n">
        <f aca="false">IF(M58="","",N58/M58)</f>
        <v>0.00173228346456693</v>
      </c>
      <c r="P58" s="14" t="str">
        <f aca="false">IF(M58="","SEM TARIFA NO CONTRATO",IF(N58&gt;Resumo!$B$4,"ACIMA DA TABELA",IF(N58&lt;-Resumo!$B$4,"ABAIXO DA TABELA","OK")))</f>
        <v>OK</v>
      </c>
    </row>
    <row r="59" customFormat="false" ht="15" hidden="false" customHeight="false" outlineLevel="0" collapsed="false">
      <c r="A59" s="14" t="s">
        <v>174</v>
      </c>
      <c r="B59" s="14" t="s">
        <v>175</v>
      </c>
      <c r="C59" s="14" t="s">
        <v>22</v>
      </c>
      <c r="D59" s="15" t="n">
        <v>46052</v>
      </c>
      <c r="E59" s="14" t="n">
        <f aca="false">MONTH(D59)</f>
        <v>1</v>
      </c>
      <c r="F59" s="14" t="s">
        <v>104</v>
      </c>
      <c r="G59" s="14" t="s">
        <v>45</v>
      </c>
      <c r="H59" s="14" t="s">
        <v>68</v>
      </c>
      <c r="I59" s="16" t="n">
        <v>973.2</v>
      </c>
      <c r="J59" s="17" t="n">
        <v>1.386</v>
      </c>
      <c r="K59" s="18" t="n">
        <v>151.2</v>
      </c>
      <c r="L59" s="18" t="n">
        <v>1468.4</v>
      </c>
      <c r="M59" s="18" t="n">
        <f aca="false">IF(J59="","",ROUND(MAX(I59*J59,K59),2))</f>
        <v>1348.86</v>
      </c>
      <c r="N59" s="18" t="n">
        <f aca="false">IF(M59="","",ROUND(L59-M59,2))</f>
        <v>119.54</v>
      </c>
      <c r="O59" s="19" t="n">
        <f aca="false">IF(M59="","",N59/M59)</f>
        <v>0.088622985335765</v>
      </c>
      <c r="P59" s="14" t="str">
        <f aca="false">IF(M59="","SEM TARIFA NO CONTRATO",IF(N59&gt;Resumo!$B$4,"ACIMA DA TABELA",IF(N59&lt;-Resumo!$B$4,"ABAIXO DA TABELA","OK")))</f>
        <v>ACIMA DA TABELA</v>
      </c>
    </row>
    <row r="60" customFormat="false" ht="15" hidden="false" customHeight="false" outlineLevel="0" collapsed="false">
      <c r="A60" s="14" t="s">
        <v>176</v>
      </c>
      <c r="B60" s="14" t="s">
        <v>177</v>
      </c>
      <c r="C60" s="14" t="s">
        <v>21</v>
      </c>
      <c r="D60" s="15" t="n">
        <v>46052</v>
      </c>
      <c r="E60" s="14" t="n">
        <f aca="false">MONTH(D60)</f>
        <v>1</v>
      </c>
      <c r="F60" s="14" t="s">
        <v>104</v>
      </c>
      <c r="G60" s="14" t="s">
        <v>45</v>
      </c>
      <c r="H60" s="14" t="s">
        <v>68</v>
      </c>
      <c r="I60" s="16" t="n">
        <v>558.4</v>
      </c>
      <c r="J60" s="17"/>
      <c r="K60" s="18"/>
      <c r="L60" s="18" t="n">
        <v>921.36</v>
      </c>
      <c r="M60" s="18" t="str">
        <f aca="false">IF(J60="","",ROUND(MAX(I60*J60,K60),2))</f>
        <v/>
      </c>
      <c r="N60" s="18" t="str">
        <f aca="false">IF(M60="","",ROUND(L60-M60,2))</f>
        <v/>
      </c>
      <c r="O60" s="19" t="str">
        <f aca="false">IF(M60="","",N60/M60)</f>
        <v/>
      </c>
      <c r="P60" s="14" t="str">
        <f aca="false">IF(M60="","SEM TARIFA NO CONTRATO",IF(N60&gt;Resumo!$B$4,"ACIMA DA TABELA",IF(N60&lt;-Resumo!$B$4,"ABAIXO DA TABELA","OK")))</f>
        <v>SEM TARIFA NO CONTRATO</v>
      </c>
    </row>
    <row r="61" customFormat="false" ht="15" hidden="false" customHeight="false" outlineLevel="0" collapsed="false">
      <c r="A61" s="14" t="s">
        <v>178</v>
      </c>
      <c r="B61" s="14" t="s">
        <v>179</v>
      </c>
      <c r="C61" s="14" t="s">
        <v>25</v>
      </c>
      <c r="D61" s="15" t="n">
        <v>46053</v>
      </c>
      <c r="E61" s="14" t="n">
        <f aca="false">MONTH(D61)</f>
        <v>1</v>
      </c>
      <c r="F61" s="14" t="s">
        <v>44</v>
      </c>
      <c r="G61" s="14" t="s">
        <v>45</v>
      </c>
      <c r="H61" s="14" t="s">
        <v>46</v>
      </c>
      <c r="I61" s="16" t="n">
        <v>199.7</v>
      </c>
      <c r="J61" s="17" t="n">
        <v>0.8132</v>
      </c>
      <c r="K61" s="18" t="n">
        <v>103.74</v>
      </c>
      <c r="L61" s="18" t="n">
        <v>162.37</v>
      </c>
      <c r="M61" s="18" t="n">
        <f aca="false">IF(J61="","",ROUND(MAX(I61*J61,K61),2))</f>
        <v>162.4</v>
      </c>
      <c r="N61" s="18" t="n">
        <f aca="false">IF(M61="","",ROUND(L61-M61,2))</f>
        <v>-0.03</v>
      </c>
      <c r="O61" s="19" t="n">
        <f aca="false">IF(M61="","",N61/M61)</f>
        <v>-0.000184729064039409</v>
      </c>
      <c r="P61" s="14" t="str">
        <f aca="false">IF(M61="","SEM TARIFA NO CONTRATO",IF(N61&gt;Resumo!$B$4,"ACIMA DA TABELA",IF(N61&lt;-Resumo!$B$4,"ABAIXO DA TABELA","OK")))</f>
        <v>OK</v>
      </c>
    </row>
    <row r="62" customFormat="false" ht="15" hidden="false" customHeight="false" outlineLevel="0" collapsed="false">
      <c r="A62" s="14" t="s">
        <v>180</v>
      </c>
      <c r="B62" s="14" t="s">
        <v>181</v>
      </c>
      <c r="C62" s="14" t="s">
        <v>24</v>
      </c>
      <c r="D62" s="15" t="n">
        <v>46053</v>
      </c>
      <c r="E62" s="14" t="n">
        <f aca="false">MONTH(D62)</f>
        <v>1</v>
      </c>
      <c r="F62" s="14" t="s">
        <v>56</v>
      </c>
      <c r="G62" s="14" t="s">
        <v>50</v>
      </c>
      <c r="H62" s="14" t="s">
        <v>45</v>
      </c>
      <c r="I62" s="16" t="n">
        <v>129.1</v>
      </c>
      <c r="J62" s="17" t="n">
        <v>0.856</v>
      </c>
      <c r="K62" s="18" t="n">
        <v>109.2</v>
      </c>
      <c r="L62" s="18" t="n">
        <v>110.77</v>
      </c>
      <c r="M62" s="18" t="n">
        <f aca="false">IF(J62="","",ROUND(MAX(I62*J62,K62),2))</f>
        <v>110.51</v>
      </c>
      <c r="N62" s="18" t="n">
        <f aca="false">IF(M62="","",ROUND(L62-M62,2))</f>
        <v>0.26</v>
      </c>
      <c r="O62" s="19" t="n">
        <f aca="false">IF(M62="","",N62/M62)</f>
        <v>0.00235272825988598</v>
      </c>
      <c r="P62" s="14" t="str">
        <f aca="false">IF(M62="","SEM TARIFA NO CONTRATO",IF(N62&gt;Resumo!$B$4,"ACIMA DA TABELA",IF(N62&lt;-Resumo!$B$4,"ABAIXO DA TABELA","OK")))</f>
        <v>OK</v>
      </c>
    </row>
    <row r="63" customFormat="false" ht="15" hidden="false" customHeight="false" outlineLevel="0" collapsed="false">
      <c r="A63" s="14" t="s">
        <v>182</v>
      </c>
      <c r="B63" s="14" t="s">
        <v>183</v>
      </c>
      <c r="C63" s="14" t="s">
        <v>21</v>
      </c>
      <c r="D63" s="15" t="n">
        <v>46053</v>
      </c>
      <c r="E63" s="14" t="n">
        <f aca="false">MONTH(D63)</f>
        <v>1</v>
      </c>
      <c r="F63" s="14" t="s">
        <v>67</v>
      </c>
      <c r="G63" s="14" t="s">
        <v>50</v>
      </c>
      <c r="H63" s="14" t="s">
        <v>68</v>
      </c>
      <c r="I63" s="16" t="n">
        <v>2187.7</v>
      </c>
      <c r="J63" s="17" t="n">
        <v>2.156</v>
      </c>
      <c r="K63" s="18" t="n">
        <v>211.2</v>
      </c>
      <c r="L63" s="18" t="n">
        <v>5646.19</v>
      </c>
      <c r="M63" s="18" t="n">
        <f aca="false">IF(J63="","",ROUND(MAX(I63*J63,K63),2))</f>
        <v>4716.68</v>
      </c>
      <c r="N63" s="18" t="n">
        <f aca="false">IF(M63="","",ROUND(L63-M63,2))</f>
        <v>929.51</v>
      </c>
      <c r="O63" s="19" t="n">
        <f aca="false">IF(M63="","",N63/M63)</f>
        <v>0.197068700865863</v>
      </c>
      <c r="P63" s="14" t="str">
        <f aca="false">IF(M63="","SEM TARIFA NO CONTRATO",IF(N63&gt;Resumo!$B$4,"ACIMA DA TABELA",IF(N63&lt;-Resumo!$B$4,"ABAIXO DA TABELA","OK")))</f>
        <v>ACIMA DA TABELA</v>
      </c>
    </row>
    <row r="64" customFormat="false" ht="15" hidden="false" customHeight="false" outlineLevel="0" collapsed="false">
      <c r="A64" s="14" t="s">
        <v>184</v>
      </c>
      <c r="B64" s="14" t="s">
        <v>185</v>
      </c>
      <c r="C64" s="14" t="s">
        <v>23</v>
      </c>
      <c r="D64" s="15" t="n">
        <v>46054</v>
      </c>
      <c r="E64" s="14" t="n">
        <f aca="false">MONTH(D64)</f>
        <v>2</v>
      </c>
      <c r="F64" s="14" t="s">
        <v>44</v>
      </c>
      <c r="G64" s="14" t="s">
        <v>45</v>
      </c>
      <c r="H64" s="14" t="s">
        <v>46</v>
      </c>
      <c r="I64" s="16" t="n">
        <v>953.5</v>
      </c>
      <c r="J64" s="17" t="n">
        <v>0.7875</v>
      </c>
      <c r="K64" s="18" t="n">
        <v>100.46</v>
      </c>
      <c r="L64" s="18" t="n">
        <v>750.93</v>
      </c>
      <c r="M64" s="18" t="n">
        <f aca="false">IF(J64="","",ROUND(MAX(I64*J64,K64),2))</f>
        <v>750.88</v>
      </c>
      <c r="N64" s="18" t="n">
        <f aca="false">IF(M64="","",ROUND(L64-M64,2))</f>
        <v>0.05</v>
      </c>
      <c r="O64" s="19" t="n">
        <f aca="false">IF(M64="","",N64/M64)</f>
        <v>6.6588536117622E-005</v>
      </c>
      <c r="P64" s="14" t="str">
        <f aca="false">IF(M64="","SEM TARIFA NO CONTRATO",IF(N64&gt;Resumo!$B$4,"ACIMA DA TABELA",IF(N64&lt;-Resumo!$B$4,"ABAIXO DA TABELA","OK")))</f>
        <v>OK</v>
      </c>
    </row>
    <row r="65" customFormat="false" ht="15" hidden="false" customHeight="false" outlineLevel="0" collapsed="false">
      <c r="A65" s="14" t="s">
        <v>186</v>
      </c>
      <c r="B65" s="14" t="s">
        <v>187</v>
      </c>
      <c r="C65" s="14" t="s">
        <v>21</v>
      </c>
      <c r="D65" s="15" t="n">
        <v>46055</v>
      </c>
      <c r="E65" s="14" t="n">
        <f aca="false">MONTH(D65)</f>
        <v>2</v>
      </c>
      <c r="F65" s="14" t="s">
        <v>61</v>
      </c>
      <c r="G65" s="14" t="s">
        <v>50</v>
      </c>
      <c r="H65" s="14" t="s">
        <v>62</v>
      </c>
      <c r="I65" s="16" t="n">
        <v>275.5</v>
      </c>
      <c r="J65" s="17" t="n">
        <v>1.1</v>
      </c>
      <c r="K65" s="18" t="n">
        <v>132</v>
      </c>
      <c r="L65" s="18" t="n">
        <v>303.14</v>
      </c>
      <c r="M65" s="18" t="n">
        <f aca="false">IF(J65="","",ROUND(MAX(I65*J65,K65),2))</f>
        <v>303.05</v>
      </c>
      <c r="N65" s="18" t="n">
        <f aca="false">IF(M65="","",ROUND(L65-M65,2))</f>
        <v>0.09</v>
      </c>
      <c r="O65" s="19" t="n">
        <f aca="false">IF(M65="","",N65/M65)</f>
        <v>0.000296980696254743</v>
      </c>
      <c r="P65" s="14" t="str">
        <f aca="false">IF(M65="","SEM TARIFA NO CONTRATO",IF(N65&gt;Resumo!$B$4,"ACIMA DA TABELA",IF(N65&lt;-Resumo!$B$4,"ABAIXO DA TABELA","OK")))</f>
        <v>OK</v>
      </c>
    </row>
    <row r="66" customFormat="false" ht="15" hidden="false" customHeight="false" outlineLevel="0" collapsed="false">
      <c r="A66" s="14" t="s">
        <v>188</v>
      </c>
      <c r="B66" s="14" t="s">
        <v>189</v>
      </c>
      <c r="C66" s="14" t="s">
        <v>21</v>
      </c>
      <c r="D66" s="15" t="n">
        <v>46056</v>
      </c>
      <c r="E66" s="14" t="n">
        <f aca="false">MONTH(D66)</f>
        <v>2</v>
      </c>
      <c r="F66" s="14" t="s">
        <v>61</v>
      </c>
      <c r="G66" s="14" t="s">
        <v>50</v>
      </c>
      <c r="H66" s="14" t="s">
        <v>62</v>
      </c>
      <c r="I66" s="16" t="n">
        <v>1004.7</v>
      </c>
      <c r="J66" s="17" t="n">
        <v>1.1</v>
      </c>
      <c r="K66" s="18" t="n">
        <v>132</v>
      </c>
      <c r="L66" s="18" t="n">
        <v>1105.39</v>
      </c>
      <c r="M66" s="18" t="n">
        <f aca="false">IF(J66="","",ROUND(MAX(I66*J66,K66),2))</f>
        <v>1105.17</v>
      </c>
      <c r="N66" s="18" t="n">
        <f aca="false">IF(M66="","",ROUND(L66-M66,2))</f>
        <v>0.22</v>
      </c>
      <c r="O66" s="19" t="n">
        <f aca="false">IF(M66="","",N66/M66)</f>
        <v>0.000199064397332537</v>
      </c>
      <c r="P66" s="14" t="str">
        <f aca="false">IF(M66="","SEM TARIFA NO CONTRATO",IF(N66&gt;Resumo!$B$4,"ACIMA DA TABELA",IF(N66&lt;-Resumo!$B$4,"ABAIXO DA TABELA","OK")))</f>
        <v>OK</v>
      </c>
    </row>
    <row r="67" customFormat="false" ht="15" hidden="false" customHeight="false" outlineLevel="0" collapsed="false">
      <c r="A67" s="14" t="s">
        <v>190</v>
      </c>
      <c r="B67" s="14" t="s">
        <v>191</v>
      </c>
      <c r="C67" s="14" t="s">
        <v>24</v>
      </c>
      <c r="D67" s="15" t="n">
        <v>46058</v>
      </c>
      <c r="E67" s="14" t="n">
        <f aca="false">MONTH(D67)</f>
        <v>2</v>
      </c>
      <c r="F67" s="14" t="s">
        <v>79</v>
      </c>
      <c r="G67" s="14" t="s">
        <v>50</v>
      </c>
      <c r="H67" s="14" t="s">
        <v>46</v>
      </c>
      <c r="I67" s="16" t="n">
        <v>2042.1</v>
      </c>
      <c r="J67" s="17" t="n">
        <v>0.36</v>
      </c>
      <c r="K67" s="18" t="n">
        <v>72</v>
      </c>
      <c r="L67" s="18" t="n">
        <v>734.99</v>
      </c>
      <c r="M67" s="18" t="n">
        <f aca="false">IF(J67="","",ROUND(MAX(I67*J67,K67),2))</f>
        <v>735.16</v>
      </c>
      <c r="N67" s="18" t="n">
        <f aca="false">IF(M67="","",ROUND(L67-M67,2))</f>
        <v>-0.17</v>
      </c>
      <c r="O67" s="19" t="n">
        <f aca="false">IF(M67="","",N67/M67)</f>
        <v>-0.000231242178573372</v>
      </c>
      <c r="P67" s="14" t="str">
        <f aca="false">IF(M67="","SEM TARIFA NO CONTRATO",IF(N67&gt;Resumo!$B$4,"ACIMA DA TABELA",IF(N67&lt;-Resumo!$B$4,"ABAIXO DA TABELA","OK")))</f>
        <v>OK</v>
      </c>
    </row>
    <row r="68" customFormat="false" ht="15" hidden="false" customHeight="false" outlineLevel="0" collapsed="false">
      <c r="A68" s="14" t="s">
        <v>192</v>
      </c>
      <c r="B68" s="14" t="s">
        <v>193</v>
      </c>
      <c r="C68" s="14" t="s">
        <v>25</v>
      </c>
      <c r="D68" s="15" t="n">
        <v>46058</v>
      </c>
      <c r="E68" s="14" t="n">
        <f aca="false">MONTH(D68)</f>
        <v>2</v>
      </c>
      <c r="F68" s="14" t="s">
        <v>73</v>
      </c>
      <c r="G68" s="14" t="s">
        <v>50</v>
      </c>
      <c r="H68" s="14" t="s">
        <v>74</v>
      </c>
      <c r="I68" s="16" t="n">
        <v>372.3</v>
      </c>
      <c r="J68" s="17" t="n">
        <v>1.0868</v>
      </c>
      <c r="K68" s="18" t="n">
        <v>124.26</v>
      </c>
      <c r="L68" s="18" t="n">
        <v>404.72</v>
      </c>
      <c r="M68" s="18" t="n">
        <f aca="false">IF(J68="","",ROUND(MAX(I68*J68,K68),2))</f>
        <v>404.62</v>
      </c>
      <c r="N68" s="18" t="n">
        <f aca="false">IF(M68="","",ROUND(L68-M68,2))</f>
        <v>0.1</v>
      </c>
      <c r="O68" s="19" t="n">
        <f aca="false">IF(M68="","",N68/M68)</f>
        <v>0.000247145469823538</v>
      </c>
      <c r="P68" s="14" t="str">
        <f aca="false">IF(M68="","SEM TARIFA NO CONTRATO",IF(N68&gt;Resumo!$B$4,"ACIMA DA TABELA",IF(N68&lt;-Resumo!$B$4,"ABAIXO DA TABELA","OK")))</f>
        <v>OK</v>
      </c>
    </row>
    <row r="69" customFormat="false" ht="15" hidden="false" customHeight="false" outlineLevel="0" collapsed="false">
      <c r="A69" s="14" t="s">
        <v>194</v>
      </c>
      <c r="B69" s="14" t="s">
        <v>195</v>
      </c>
      <c r="C69" s="14" t="s">
        <v>24</v>
      </c>
      <c r="D69" s="15" t="n">
        <v>46058</v>
      </c>
      <c r="E69" s="14" t="n">
        <f aca="false">MONTH(D69)</f>
        <v>2</v>
      </c>
      <c r="F69" s="14" t="s">
        <v>44</v>
      </c>
      <c r="G69" s="14" t="s">
        <v>45</v>
      </c>
      <c r="H69" s="14" t="s">
        <v>46</v>
      </c>
      <c r="I69" s="16" t="n">
        <v>2073.3</v>
      </c>
      <c r="J69" s="17" t="n">
        <v>0.856</v>
      </c>
      <c r="K69" s="18" t="n">
        <v>109.2</v>
      </c>
      <c r="L69" s="18" t="n">
        <v>1774.93</v>
      </c>
      <c r="M69" s="18" t="n">
        <f aca="false">IF(J69="","",ROUND(MAX(I69*J69,K69),2))</f>
        <v>1774.74</v>
      </c>
      <c r="N69" s="18" t="n">
        <f aca="false">IF(M69="","",ROUND(L69-M69,2))</f>
        <v>0.19</v>
      </c>
      <c r="O69" s="19" t="n">
        <f aca="false">IF(M69="","",N69/M69)</f>
        <v>0.000107057935246853</v>
      </c>
      <c r="P69" s="14" t="str">
        <f aca="false">IF(M69="","SEM TARIFA NO CONTRATO",IF(N69&gt;Resumo!$B$4,"ACIMA DA TABELA",IF(N69&lt;-Resumo!$B$4,"ABAIXO DA TABELA","OK")))</f>
        <v>OK</v>
      </c>
    </row>
    <row r="70" customFormat="false" ht="15" hidden="false" customHeight="false" outlineLevel="0" collapsed="false">
      <c r="A70" s="14" t="s">
        <v>196</v>
      </c>
      <c r="B70" s="14" t="s">
        <v>197</v>
      </c>
      <c r="C70" s="14" t="s">
        <v>24</v>
      </c>
      <c r="D70" s="15" t="n">
        <v>46059</v>
      </c>
      <c r="E70" s="14" t="n">
        <f aca="false">MONTH(D70)</f>
        <v>2</v>
      </c>
      <c r="F70" s="14" t="s">
        <v>79</v>
      </c>
      <c r="G70" s="14" t="s">
        <v>50</v>
      </c>
      <c r="H70" s="14" t="s">
        <v>46</v>
      </c>
      <c r="I70" s="16" t="n">
        <v>467.2</v>
      </c>
      <c r="J70" s="17" t="n">
        <v>0.36</v>
      </c>
      <c r="K70" s="18" t="n">
        <v>72</v>
      </c>
      <c r="L70" s="18" t="n">
        <v>167.89</v>
      </c>
      <c r="M70" s="18" t="n">
        <f aca="false">IF(J70="","",ROUND(MAX(I70*J70,K70),2))</f>
        <v>168.19</v>
      </c>
      <c r="N70" s="18" t="n">
        <f aca="false">IF(M70="","",ROUND(L70-M70,2))</f>
        <v>-0.3</v>
      </c>
      <c r="O70" s="19" t="n">
        <f aca="false">IF(M70="","",N70/M70)</f>
        <v>-0.00178369700933468</v>
      </c>
      <c r="P70" s="14" t="str">
        <f aca="false">IF(M70="","SEM TARIFA NO CONTRATO",IF(N70&gt;Resumo!$B$4,"ACIMA DA TABELA",IF(N70&lt;-Resumo!$B$4,"ABAIXO DA TABELA","OK")))</f>
        <v>OK</v>
      </c>
    </row>
    <row r="71" customFormat="false" ht="15" hidden="false" customHeight="false" outlineLevel="0" collapsed="false">
      <c r="A71" s="14" t="s">
        <v>198</v>
      </c>
      <c r="B71" s="14" t="s">
        <v>199</v>
      </c>
      <c r="C71" s="14" t="s">
        <v>21</v>
      </c>
      <c r="D71" s="15" t="n">
        <v>46060</v>
      </c>
      <c r="E71" s="14" t="n">
        <f aca="false">MONTH(D71)</f>
        <v>2</v>
      </c>
      <c r="F71" s="14" t="s">
        <v>61</v>
      </c>
      <c r="G71" s="14" t="s">
        <v>50</v>
      </c>
      <c r="H71" s="14" t="s">
        <v>62</v>
      </c>
      <c r="I71" s="16" t="n">
        <v>554.2</v>
      </c>
      <c r="J71" s="17" t="n">
        <v>1.1</v>
      </c>
      <c r="K71" s="18" t="n">
        <v>132</v>
      </c>
      <c r="L71" s="18" t="n">
        <v>609.33</v>
      </c>
      <c r="M71" s="18" t="n">
        <f aca="false">IF(J71="","",ROUND(MAX(I71*J71,K71),2))</f>
        <v>609.62</v>
      </c>
      <c r="N71" s="18" t="n">
        <f aca="false">IF(M71="","",ROUND(L71-M71,2))</f>
        <v>-0.29</v>
      </c>
      <c r="O71" s="19" t="n">
        <f aca="false">IF(M71="","",N71/M71)</f>
        <v>-0.000475706177618845</v>
      </c>
      <c r="P71" s="14" t="str">
        <f aca="false">IF(M71="","SEM TARIFA NO CONTRATO",IF(N71&gt;Resumo!$B$4,"ACIMA DA TABELA",IF(N71&lt;-Resumo!$B$4,"ABAIXO DA TABELA","OK")))</f>
        <v>OK</v>
      </c>
    </row>
    <row r="72" customFormat="false" ht="15" hidden="false" customHeight="false" outlineLevel="0" collapsed="false">
      <c r="A72" s="14" t="s">
        <v>200</v>
      </c>
      <c r="B72" s="14" t="s">
        <v>201</v>
      </c>
      <c r="C72" s="14" t="s">
        <v>24</v>
      </c>
      <c r="D72" s="15" t="n">
        <v>46060</v>
      </c>
      <c r="E72" s="14" t="n">
        <f aca="false">MONTH(D72)</f>
        <v>2</v>
      </c>
      <c r="F72" s="14" t="s">
        <v>61</v>
      </c>
      <c r="G72" s="14" t="s">
        <v>50</v>
      </c>
      <c r="H72" s="14" t="s">
        <v>62</v>
      </c>
      <c r="I72" s="16" t="n">
        <v>237.3</v>
      </c>
      <c r="J72" s="17" t="n">
        <v>1</v>
      </c>
      <c r="K72" s="18" t="n">
        <v>120</v>
      </c>
      <c r="L72" s="18" t="n">
        <v>237.26</v>
      </c>
      <c r="M72" s="18" t="n">
        <f aca="false">IF(J72="","",ROUND(MAX(I72*J72,K72),2))</f>
        <v>237.3</v>
      </c>
      <c r="N72" s="18" t="n">
        <f aca="false">IF(M72="","",ROUND(L72-M72,2))</f>
        <v>-0.04</v>
      </c>
      <c r="O72" s="19" t="n">
        <f aca="false">IF(M72="","",N72/M72)</f>
        <v>-0.000168563000421408</v>
      </c>
      <c r="P72" s="14" t="str">
        <f aca="false">IF(M72="","SEM TARIFA NO CONTRATO",IF(N72&gt;Resumo!$B$4,"ACIMA DA TABELA",IF(N72&lt;-Resumo!$B$4,"ABAIXO DA TABELA","OK")))</f>
        <v>OK</v>
      </c>
    </row>
    <row r="73" customFormat="false" ht="15" hidden="false" customHeight="false" outlineLevel="0" collapsed="false">
      <c r="A73" s="14" t="s">
        <v>202</v>
      </c>
      <c r="B73" s="14" t="s">
        <v>203</v>
      </c>
      <c r="C73" s="14" t="s">
        <v>23</v>
      </c>
      <c r="D73" s="15" t="n">
        <v>46060</v>
      </c>
      <c r="E73" s="14" t="n">
        <f aca="false">MONTH(D73)</f>
        <v>2</v>
      </c>
      <c r="F73" s="14" t="s">
        <v>44</v>
      </c>
      <c r="G73" s="14" t="s">
        <v>45</v>
      </c>
      <c r="H73" s="14" t="s">
        <v>46</v>
      </c>
      <c r="I73" s="16" t="n">
        <v>387</v>
      </c>
      <c r="J73" s="17" t="n">
        <v>0.7875</v>
      </c>
      <c r="K73" s="18" t="n">
        <v>100.46</v>
      </c>
      <c r="L73" s="18" t="n">
        <v>304.64</v>
      </c>
      <c r="M73" s="18" t="n">
        <f aca="false">IF(J73="","",ROUND(MAX(I73*J73,K73),2))</f>
        <v>304.76</v>
      </c>
      <c r="N73" s="18" t="n">
        <f aca="false">IF(M73="","",ROUND(L73-M73,2))</f>
        <v>-0.12</v>
      </c>
      <c r="O73" s="19" t="n">
        <f aca="false">IF(M73="","",N73/M73)</f>
        <v>-0.000393752460952881</v>
      </c>
      <c r="P73" s="14" t="str">
        <f aca="false">IF(M73="","SEM TARIFA NO CONTRATO",IF(N73&gt;Resumo!$B$4,"ACIMA DA TABELA",IF(N73&lt;-Resumo!$B$4,"ABAIXO DA TABELA","OK")))</f>
        <v>OK</v>
      </c>
    </row>
    <row r="74" customFormat="false" ht="15" hidden="false" customHeight="false" outlineLevel="0" collapsed="false">
      <c r="A74" s="14" t="s">
        <v>204</v>
      </c>
      <c r="B74" s="14" t="s">
        <v>205</v>
      </c>
      <c r="C74" s="14" t="s">
        <v>22</v>
      </c>
      <c r="D74" s="15" t="n">
        <v>46060</v>
      </c>
      <c r="E74" s="14" t="n">
        <f aca="false">MONTH(D74)</f>
        <v>2</v>
      </c>
      <c r="F74" s="14" t="s">
        <v>118</v>
      </c>
      <c r="G74" s="14" t="s">
        <v>50</v>
      </c>
      <c r="H74" s="14" t="s">
        <v>119</v>
      </c>
      <c r="I74" s="16" t="n">
        <v>405.2</v>
      </c>
      <c r="J74" s="17" t="n">
        <v>3.5028</v>
      </c>
      <c r="K74" s="18" t="n">
        <v>309.96</v>
      </c>
      <c r="L74" s="18" t="n">
        <v>1419.4</v>
      </c>
      <c r="M74" s="18" t="n">
        <f aca="false">IF(J74="","",ROUND(MAX(I74*J74,K74),2))</f>
        <v>1419.33</v>
      </c>
      <c r="N74" s="18" t="n">
        <f aca="false">IF(M74="","",ROUND(L74-M74,2))</f>
        <v>0.07</v>
      </c>
      <c r="O74" s="19" t="n">
        <f aca="false">IF(M74="","",N74/M74)</f>
        <v>4.93190449014676E-005</v>
      </c>
      <c r="P74" s="14" t="str">
        <f aca="false">IF(M74="","SEM TARIFA NO CONTRATO",IF(N74&gt;Resumo!$B$4,"ACIMA DA TABELA",IF(N74&lt;-Resumo!$B$4,"ABAIXO DA TABELA","OK")))</f>
        <v>OK</v>
      </c>
    </row>
    <row r="75" customFormat="false" ht="15" hidden="false" customHeight="false" outlineLevel="0" collapsed="false">
      <c r="A75" s="14" t="s">
        <v>206</v>
      </c>
      <c r="B75" s="14" t="s">
        <v>207</v>
      </c>
      <c r="C75" s="14" t="s">
        <v>24</v>
      </c>
      <c r="D75" s="15" t="n">
        <v>46061</v>
      </c>
      <c r="E75" s="14" t="n">
        <f aca="false">MONTH(D75)</f>
        <v>2</v>
      </c>
      <c r="F75" s="14" t="s">
        <v>61</v>
      </c>
      <c r="G75" s="14" t="s">
        <v>50</v>
      </c>
      <c r="H75" s="14" t="s">
        <v>62</v>
      </c>
      <c r="I75" s="16" t="n">
        <v>169.8</v>
      </c>
      <c r="J75" s="17" t="n">
        <v>1</v>
      </c>
      <c r="K75" s="18" t="n">
        <v>120</v>
      </c>
      <c r="L75" s="18" t="n">
        <v>170.16</v>
      </c>
      <c r="M75" s="18" t="n">
        <f aca="false">IF(J75="","",ROUND(MAX(I75*J75,K75),2))</f>
        <v>169.8</v>
      </c>
      <c r="N75" s="18" t="n">
        <f aca="false">IF(M75="","",ROUND(L75-M75,2))</f>
        <v>0.36</v>
      </c>
      <c r="O75" s="19" t="n">
        <f aca="false">IF(M75="","",N75/M75)</f>
        <v>0.00212014134275618</v>
      </c>
      <c r="P75" s="14" t="str">
        <f aca="false">IF(M75="","SEM TARIFA NO CONTRATO",IF(N75&gt;Resumo!$B$4,"ACIMA DA TABELA",IF(N75&lt;-Resumo!$B$4,"ABAIXO DA TABELA","OK")))</f>
        <v>OK</v>
      </c>
    </row>
    <row r="76" customFormat="false" ht="15" hidden="false" customHeight="false" outlineLevel="0" collapsed="false">
      <c r="A76" s="14" t="s">
        <v>208</v>
      </c>
      <c r="B76" s="14" t="s">
        <v>209</v>
      </c>
      <c r="C76" s="14" t="s">
        <v>25</v>
      </c>
      <c r="D76" s="15" t="n">
        <v>46061</v>
      </c>
      <c r="E76" s="14" t="n">
        <f aca="false">MONTH(D76)</f>
        <v>2</v>
      </c>
      <c r="F76" s="14" t="s">
        <v>44</v>
      </c>
      <c r="G76" s="14" t="s">
        <v>45</v>
      </c>
      <c r="H76" s="14" t="s">
        <v>46</v>
      </c>
      <c r="I76" s="16" t="n">
        <v>1005.3</v>
      </c>
      <c r="J76" s="17" t="n">
        <v>0.8132</v>
      </c>
      <c r="K76" s="18" t="n">
        <v>103.74</v>
      </c>
      <c r="L76" s="18" t="n">
        <v>817.18</v>
      </c>
      <c r="M76" s="18" t="n">
        <f aca="false">IF(J76="","",ROUND(MAX(I76*J76,K76),2))</f>
        <v>817.51</v>
      </c>
      <c r="N76" s="18" t="n">
        <f aca="false">IF(M76="","",ROUND(L76-M76,2))</f>
        <v>-0.33</v>
      </c>
      <c r="O76" s="19" t="n">
        <f aca="false">IF(M76="","",N76/M76)</f>
        <v>-0.000403664786975083</v>
      </c>
      <c r="P76" s="14" t="str">
        <f aca="false">IF(M76="","SEM TARIFA NO CONTRATO",IF(N76&gt;Resumo!$B$4,"ACIMA DA TABELA",IF(N76&lt;-Resumo!$B$4,"ABAIXO DA TABELA","OK")))</f>
        <v>OK</v>
      </c>
    </row>
    <row r="77" customFormat="false" ht="15" hidden="false" customHeight="false" outlineLevel="0" collapsed="false">
      <c r="A77" s="14" t="s">
        <v>210</v>
      </c>
      <c r="B77" s="14" t="s">
        <v>211</v>
      </c>
      <c r="C77" s="14" t="s">
        <v>24</v>
      </c>
      <c r="D77" s="15" t="n">
        <v>46062</v>
      </c>
      <c r="E77" s="14" t="n">
        <f aca="false">MONTH(D77)</f>
        <v>2</v>
      </c>
      <c r="F77" s="14" t="s">
        <v>56</v>
      </c>
      <c r="G77" s="14" t="s">
        <v>50</v>
      </c>
      <c r="H77" s="14" t="s">
        <v>45</v>
      </c>
      <c r="I77" s="16" t="n">
        <v>758</v>
      </c>
      <c r="J77" s="17" t="n">
        <v>0.856</v>
      </c>
      <c r="K77" s="18" t="n">
        <v>109.2</v>
      </c>
      <c r="L77" s="18" t="n">
        <v>648.72</v>
      </c>
      <c r="M77" s="18" t="n">
        <f aca="false">IF(J77="","",ROUND(MAX(I77*J77,K77),2))</f>
        <v>648.85</v>
      </c>
      <c r="N77" s="18" t="n">
        <f aca="false">IF(M77="","",ROUND(L77-M77,2))</f>
        <v>-0.13</v>
      </c>
      <c r="O77" s="19" t="n">
        <f aca="false">IF(M77="","",N77/M77)</f>
        <v>-0.000200354473298913</v>
      </c>
      <c r="P77" s="14" t="str">
        <f aca="false">IF(M77="","SEM TARIFA NO CONTRATO",IF(N77&gt;Resumo!$B$4,"ACIMA DA TABELA",IF(N77&lt;-Resumo!$B$4,"ABAIXO DA TABELA","OK")))</f>
        <v>OK</v>
      </c>
    </row>
    <row r="78" customFormat="false" ht="15" hidden="false" customHeight="false" outlineLevel="0" collapsed="false">
      <c r="A78" s="14" t="s">
        <v>212</v>
      </c>
      <c r="B78" s="14" t="s">
        <v>213</v>
      </c>
      <c r="C78" s="14" t="s">
        <v>25</v>
      </c>
      <c r="D78" s="15" t="n">
        <v>46062</v>
      </c>
      <c r="E78" s="14" t="n">
        <f aca="false">MONTH(D78)</f>
        <v>2</v>
      </c>
      <c r="F78" s="14" t="s">
        <v>104</v>
      </c>
      <c r="G78" s="14" t="s">
        <v>45</v>
      </c>
      <c r="H78" s="14" t="s">
        <v>68</v>
      </c>
      <c r="I78" s="16" t="n">
        <v>558.6</v>
      </c>
      <c r="J78" s="17" t="n">
        <v>1.254</v>
      </c>
      <c r="K78" s="18" t="n">
        <v>136.8</v>
      </c>
      <c r="L78" s="18" t="n">
        <v>753.52</v>
      </c>
      <c r="M78" s="18" t="n">
        <f aca="false">IF(J78="","",ROUND(MAX(I78*J78,K78),2))</f>
        <v>700.48</v>
      </c>
      <c r="N78" s="18" t="n">
        <f aca="false">IF(M78="","",ROUND(L78-M78,2))</f>
        <v>53.04</v>
      </c>
      <c r="O78" s="19" t="n">
        <f aca="false">IF(M78="","",N78/M78)</f>
        <v>0.0757195066240292</v>
      </c>
      <c r="P78" s="14" t="str">
        <f aca="false">IF(M78="","SEM TARIFA NO CONTRATO",IF(N78&gt;Resumo!$B$4,"ACIMA DA TABELA",IF(N78&lt;-Resumo!$B$4,"ABAIXO DA TABELA","OK")))</f>
        <v>ACIMA DA TABELA</v>
      </c>
    </row>
    <row r="79" customFormat="false" ht="15" hidden="false" customHeight="false" outlineLevel="0" collapsed="false">
      <c r="A79" s="14" t="s">
        <v>214</v>
      </c>
      <c r="B79" s="14" t="s">
        <v>215</v>
      </c>
      <c r="C79" s="14" t="s">
        <v>25</v>
      </c>
      <c r="D79" s="15" t="n">
        <v>46062</v>
      </c>
      <c r="E79" s="14" t="n">
        <f aca="false">MONTH(D79)</f>
        <v>2</v>
      </c>
      <c r="F79" s="14" t="s">
        <v>44</v>
      </c>
      <c r="G79" s="14" t="s">
        <v>45</v>
      </c>
      <c r="H79" s="14" t="s">
        <v>46</v>
      </c>
      <c r="I79" s="16" t="n">
        <v>513.5</v>
      </c>
      <c r="J79" s="17" t="n">
        <v>0.8132</v>
      </c>
      <c r="K79" s="18" t="n">
        <v>103.74</v>
      </c>
      <c r="L79" s="18" t="n">
        <v>417.9</v>
      </c>
      <c r="M79" s="18" t="n">
        <f aca="false">IF(J79="","",ROUND(MAX(I79*J79,K79),2))</f>
        <v>417.58</v>
      </c>
      <c r="N79" s="18" t="n">
        <f aca="false">IF(M79="","",ROUND(L79-M79,2))</f>
        <v>0.32</v>
      </c>
      <c r="O79" s="19" t="n">
        <f aca="false">IF(M79="","",N79/M79)</f>
        <v>0.000766320226064467</v>
      </c>
      <c r="P79" s="14" t="str">
        <f aca="false">IF(M79="","SEM TARIFA NO CONTRATO",IF(N79&gt;Resumo!$B$4,"ACIMA DA TABELA",IF(N79&lt;-Resumo!$B$4,"ABAIXO DA TABELA","OK")))</f>
        <v>OK</v>
      </c>
    </row>
    <row r="80" customFormat="false" ht="15" hidden="false" customHeight="false" outlineLevel="0" collapsed="false">
      <c r="A80" s="14" t="s">
        <v>216</v>
      </c>
      <c r="B80" s="14" t="s">
        <v>217</v>
      </c>
      <c r="C80" s="14" t="s">
        <v>24</v>
      </c>
      <c r="D80" s="15" t="n">
        <v>46063</v>
      </c>
      <c r="E80" s="14" t="n">
        <f aca="false">MONTH(D80)</f>
        <v>2</v>
      </c>
      <c r="F80" s="14" t="s">
        <v>61</v>
      </c>
      <c r="G80" s="14" t="s">
        <v>50</v>
      </c>
      <c r="H80" s="14" t="s">
        <v>62</v>
      </c>
      <c r="I80" s="16" t="n">
        <v>141.9</v>
      </c>
      <c r="J80" s="17" t="n">
        <v>1</v>
      </c>
      <c r="K80" s="18" t="n">
        <v>120</v>
      </c>
      <c r="L80" s="18" t="n">
        <v>141.56</v>
      </c>
      <c r="M80" s="18" t="n">
        <f aca="false">IF(J80="","",ROUND(MAX(I80*J80,K80),2))</f>
        <v>141.9</v>
      </c>
      <c r="N80" s="18" t="n">
        <f aca="false">IF(M80="","",ROUND(L80-M80,2))</f>
        <v>-0.34</v>
      </c>
      <c r="O80" s="19" t="n">
        <f aca="false">IF(M80="","",N80/M80)</f>
        <v>-0.00239605355884426</v>
      </c>
      <c r="P80" s="14" t="str">
        <f aca="false">IF(M80="","SEM TARIFA NO CONTRATO",IF(N80&gt;Resumo!$B$4,"ACIMA DA TABELA",IF(N80&lt;-Resumo!$B$4,"ABAIXO DA TABELA","OK")))</f>
        <v>OK</v>
      </c>
    </row>
    <row r="81" customFormat="false" ht="15" hidden="false" customHeight="false" outlineLevel="0" collapsed="false">
      <c r="A81" s="14" t="s">
        <v>218</v>
      </c>
      <c r="B81" s="14" t="s">
        <v>219</v>
      </c>
      <c r="C81" s="14" t="s">
        <v>24</v>
      </c>
      <c r="D81" s="15" t="n">
        <v>46063</v>
      </c>
      <c r="E81" s="14" t="n">
        <f aca="false">MONTH(D81)</f>
        <v>2</v>
      </c>
      <c r="F81" s="14" t="s">
        <v>44</v>
      </c>
      <c r="G81" s="14" t="s">
        <v>45</v>
      </c>
      <c r="H81" s="14" t="s">
        <v>46</v>
      </c>
      <c r="I81" s="16" t="n">
        <v>256.4</v>
      </c>
      <c r="J81" s="17" t="n">
        <v>0.856</v>
      </c>
      <c r="K81" s="18" t="n">
        <v>109.2</v>
      </c>
      <c r="L81" s="18" t="n">
        <v>219.62</v>
      </c>
      <c r="M81" s="18" t="n">
        <f aca="false">IF(J81="","",ROUND(MAX(I81*J81,K81),2))</f>
        <v>219.48</v>
      </c>
      <c r="N81" s="18" t="n">
        <f aca="false">IF(M81="","",ROUND(L81-M81,2))</f>
        <v>0.14</v>
      </c>
      <c r="O81" s="19" t="n">
        <f aca="false">IF(M81="","",N81/M81)</f>
        <v>0.00063787133223984</v>
      </c>
      <c r="P81" s="14" t="str">
        <f aca="false">IF(M81="","SEM TARIFA NO CONTRATO",IF(N81&gt;Resumo!$B$4,"ACIMA DA TABELA",IF(N81&lt;-Resumo!$B$4,"ABAIXO DA TABELA","OK")))</f>
        <v>OK</v>
      </c>
    </row>
    <row r="82" customFormat="false" ht="15" hidden="false" customHeight="false" outlineLevel="0" collapsed="false">
      <c r="A82" s="14" t="s">
        <v>220</v>
      </c>
      <c r="B82" s="14" t="s">
        <v>221</v>
      </c>
      <c r="C82" s="14" t="s">
        <v>25</v>
      </c>
      <c r="D82" s="15" t="n">
        <v>46063</v>
      </c>
      <c r="E82" s="14" t="n">
        <f aca="false">MONTH(D82)</f>
        <v>2</v>
      </c>
      <c r="F82" s="14" t="s">
        <v>104</v>
      </c>
      <c r="G82" s="14" t="s">
        <v>45</v>
      </c>
      <c r="H82" s="14" t="s">
        <v>68</v>
      </c>
      <c r="I82" s="16" t="n">
        <v>429.8</v>
      </c>
      <c r="J82" s="17" t="n">
        <v>1.254</v>
      </c>
      <c r="K82" s="18" t="n">
        <v>136.8</v>
      </c>
      <c r="L82" s="18" t="n">
        <v>538.86</v>
      </c>
      <c r="M82" s="18" t="n">
        <f aca="false">IF(J82="","",ROUND(MAX(I82*J82,K82),2))</f>
        <v>538.97</v>
      </c>
      <c r="N82" s="18" t="n">
        <f aca="false">IF(M82="","",ROUND(L82-M82,2))</f>
        <v>-0.11</v>
      </c>
      <c r="O82" s="19" t="n">
        <f aca="false">IF(M82="","",N82/M82)</f>
        <v>-0.000204092992188805</v>
      </c>
      <c r="P82" s="14" t="str">
        <f aca="false">IF(M82="","SEM TARIFA NO CONTRATO",IF(N82&gt;Resumo!$B$4,"ACIMA DA TABELA",IF(N82&lt;-Resumo!$B$4,"ABAIXO DA TABELA","OK")))</f>
        <v>OK</v>
      </c>
    </row>
    <row r="83" customFormat="false" ht="15" hidden="false" customHeight="false" outlineLevel="0" collapsed="false">
      <c r="A83" s="14" t="s">
        <v>222</v>
      </c>
      <c r="B83" s="14" t="s">
        <v>223</v>
      </c>
      <c r="C83" s="14" t="s">
        <v>23</v>
      </c>
      <c r="D83" s="15" t="n">
        <v>46064</v>
      </c>
      <c r="E83" s="14" t="n">
        <f aca="false">MONTH(D83)</f>
        <v>2</v>
      </c>
      <c r="F83" s="14" t="s">
        <v>118</v>
      </c>
      <c r="G83" s="14" t="s">
        <v>50</v>
      </c>
      <c r="H83" s="14" t="s">
        <v>119</v>
      </c>
      <c r="I83" s="16" t="n">
        <v>571.8</v>
      </c>
      <c r="J83" s="17" t="n">
        <v>3.0691</v>
      </c>
      <c r="K83" s="18" t="n">
        <v>271.58</v>
      </c>
      <c r="L83" s="18" t="n">
        <v>1754.79</v>
      </c>
      <c r="M83" s="18" t="n">
        <f aca="false">IF(J83="","",ROUND(MAX(I83*J83,K83),2))</f>
        <v>1754.91</v>
      </c>
      <c r="N83" s="18" t="n">
        <f aca="false">IF(M83="","",ROUND(L83-M83,2))</f>
        <v>-0.12</v>
      </c>
      <c r="O83" s="19" t="n">
        <f aca="false">IF(M83="","",N83/M83)</f>
        <v>-6.83795750209412E-005</v>
      </c>
      <c r="P83" s="14" t="str">
        <f aca="false">IF(M83="","SEM TARIFA NO CONTRATO",IF(N83&gt;Resumo!$B$4,"ACIMA DA TABELA",IF(N83&lt;-Resumo!$B$4,"ABAIXO DA TABELA","OK")))</f>
        <v>OK</v>
      </c>
    </row>
    <row r="84" customFormat="false" ht="15" hidden="false" customHeight="false" outlineLevel="0" collapsed="false">
      <c r="A84" s="14" t="s">
        <v>224</v>
      </c>
      <c r="B84" s="14" t="s">
        <v>225</v>
      </c>
      <c r="C84" s="14" t="s">
        <v>22</v>
      </c>
      <c r="D84" s="15" t="n">
        <v>46066</v>
      </c>
      <c r="E84" s="14" t="n">
        <f aca="false">MONTH(D84)</f>
        <v>2</v>
      </c>
      <c r="F84" s="14" t="s">
        <v>56</v>
      </c>
      <c r="G84" s="14" t="s">
        <v>50</v>
      </c>
      <c r="H84" s="14" t="s">
        <v>45</v>
      </c>
      <c r="I84" s="16" t="n">
        <v>182.5</v>
      </c>
      <c r="J84" s="17" t="n">
        <v>0.8988</v>
      </c>
      <c r="K84" s="18" t="n">
        <v>114.66</v>
      </c>
      <c r="L84" s="18" t="n">
        <v>195.58</v>
      </c>
      <c r="M84" s="18" t="n">
        <f aca="false">IF(J84="","",ROUND(MAX(I84*J84,K84),2))</f>
        <v>164.03</v>
      </c>
      <c r="N84" s="18" t="n">
        <f aca="false">IF(M84="","",ROUND(L84-M84,2))</f>
        <v>31.55</v>
      </c>
      <c r="O84" s="19" t="n">
        <f aca="false">IF(M84="","",N84/M84)</f>
        <v>0.192342864110224</v>
      </c>
      <c r="P84" s="14" t="str">
        <f aca="false">IF(M84="","SEM TARIFA NO CONTRATO",IF(N84&gt;Resumo!$B$4,"ACIMA DA TABELA",IF(N84&lt;-Resumo!$B$4,"ABAIXO DA TABELA","OK")))</f>
        <v>ACIMA DA TABELA</v>
      </c>
    </row>
    <row r="85" customFormat="false" ht="15" hidden="false" customHeight="false" outlineLevel="0" collapsed="false">
      <c r="A85" s="14" t="s">
        <v>226</v>
      </c>
      <c r="B85" s="14" t="s">
        <v>227</v>
      </c>
      <c r="C85" s="14" t="s">
        <v>21</v>
      </c>
      <c r="D85" s="15" t="n">
        <v>46066</v>
      </c>
      <c r="E85" s="14" t="n">
        <f aca="false">MONTH(D85)</f>
        <v>2</v>
      </c>
      <c r="F85" s="14" t="s">
        <v>67</v>
      </c>
      <c r="G85" s="14" t="s">
        <v>50</v>
      </c>
      <c r="H85" s="14" t="s">
        <v>68</v>
      </c>
      <c r="I85" s="16" t="n">
        <v>1390.1</v>
      </c>
      <c r="J85" s="17" t="n">
        <v>2.156</v>
      </c>
      <c r="K85" s="18" t="n">
        <v>211.2</v>
      </c>
      <c r="L85" s="18" t="n">
        <v>3367.53</v>
      </c>
      <c r="M85" s="18" t="n">
        <f aca="false">IF(J85="","",ROUND(MAX(I85*J85,K85),2))</f>
        <v>2997.06</v>
      </c>
      <c r="N85" s="18" t="n">
        <f aca="false">IF(M85="","",ROUND(L85-M85,2))</f>
        <v>370.47</v>
      </c>
      <c r="O85" s="19" t="n">
        <f aca="false">IF(M85="","",N85/M85)</f>
        <v>0.123611138916138</v>
      </c>
      <c r="P85" s="14" t="str">
        <f aca="false">IF(M85="","SEM TARIFA NO CONTRATO",IF(N85&gt;Resumo!$B$4,"ACIMA DA TABELA",IF(N85&lt;-Resumo!$B$4,"ABAIXO DA TABELA","OK")))</f>
        <v>ACIMA DA TABELA</v>
      </c>
    </row>
    <row r="86" customFormat="false" ht="15" hidden="false" customHeight="false" outlineLevel="0" collapsed="false">
      <c r="A86" s="14" t="s">
        <v>228</v>
      </c>
      <c r="B86" s="14" t="s">
        <v>229</v>
      </c>
      <c r="C86" s="14" t="s">
        <v>25</v>
      </c>
      <c r="D86" s="15" t="n">
        <v>46066</v>
      </c>
      <c r="E86" s="14" t="n">
        <f aca="false">MONTH(D86)</f>
        <v>2</v>
      </c>
      <c r="F86" s="14" t="s">
        <v>79</v>
      </c>
      <c r="G86" s="14" t="s">
        <v>50</v>
      </c>
      <c r="H86" s="14" t="s">
        <v>46</v>
      </c>
      <c r="I86" s="16" t="n">
        <v>3493.8</v>
      </c>
      <c r="J86" s="17" t="n">
        <v>0.342</v>
      </c>
      <c r="K86" s="18" t="n">
        <v>68.4</v>
      </c>
      <c r="L86" s="18" t="n">
        <v>1194.92</v>
      </c>
      <c r="M86" s="18" t="n">
        <f aca="false">IF(J86="","",ROUND(MAX(I86*J86,K86),2))</f>
        <v>1194.88</v>
      </c>
      <c r="N86" s="18" t="n">
        <f aca="false">IF(M86="","",ROUND(L86-M86,2))</f>
        <v>0.04</v>
      </c>
      <c r="O86" s="19" t="n">
        <f aca="false">IF(M86="","",N86/M86)</f>
        <v>3.3476164970541E-005</v>
      </c>
      <c r="P86" s="14" t="str">
        <f aca="false">IF(M86="","SEM TARIFA NO CONTRATO",IF(N86&gt;Resumo!$B$4,"ACIMA DA TABELA",IF(N86&lt;-Resumo!$B$4,"ABAIXO DA TABELA","OK")))</f>
        <v>OK</v>
      </c>
    </row>
    <row r="87" customFormat="false" ht="15" hidden="false" customHeight="false" outlineLevel="0" collapsed="false">
      <c r="A87" s="14" t="s">
        <v>230</v>
      </c>
      <c r="B87" s="14" t="s">
        <v>231</v>
      </c>
      <c r="C87" s="14" t="s">
        <v>22</v>
      </c>
      <c r="D87" s="15" t="n">
        <v>46066</v>
      </c>
      <c r="E87" s="14" t="n">
        <f aca="false">MONTH(D87)</f>
        <v>2</v>
      </c>
      <c r="F87" s="14" t="s">
        <v>49</v>
      </c>
      <c r="G87" s="14" t="s">
        <v>50</v>
      </c>
      <c r="H87" s="14" t="s">
        <v>51</v>
      </c>
      <c r="I87" s="16" t="n">
        <v>993.2</v>
      </c>
      <c r="J87" s="17" t="n">
        <v>4.662</v>
      </c>
      <c r="K87" s="18" t="n">
        <v>396.9</v>
      </c>
      <c r="L87" s="18" t="n">
        <v>4875.95</v>
      </c>
      <c r="M87" s="18" t="n">
        <f aca="false">IF(J87="","",ROUND(MAX(I87*J87,K87),2))</f>
        <v>4630.3</v>
      </c>
      <c r="N87" s="18" t="n">
        <f aca="false">IF(M87="","",ROUND(L87-M87,2))</f>
        <v>245.65</v>
      </c>
      <c r="O87" s="19" t="n">
        <f aca="false">IF(M87="","",N87/M87)</f>
        <v>0.0530527179664385</v>
      </c>
      <c r="P87" s="14" t="str">
        <f aca="false">IF(M87="","SEM TARIFA NO CONTRATO",IF(N87&gt;Resumo!$B$4,"ACIMA DA TABELA",IF(N87&lt;-Resumo!$B$4,"ABAIXO DA TABELA","OK")))</f>
        <v>ACIMA DA TABELA</v>
      </c>
    </row>
    <row r="88" customFormat="false" ht="15" hidden="false" customHeight="false" outlineLevel="0" collapsed="false">
      <c r="A88" s="14" t="s">
        <v>232</v>
      </c>
      <c r="B88" s="14" t="s">
        <v>233</v>
      </c>
      <c r="C88" s="14" t="s">
        <v>23</v>
      </c>
      <c r="D88" s="15" t="n">
        <v>46066</v>
      </c>
      <c r="E88" s="14" t="n">
        <f aca="false">MONTH(D88)</f>
        <v>2</v>
      </c>
      <c r="F88" s="14" t="s">
        <v>118</v>
      </c>
      <c r="G88" s="14" t="s">
        <v>50</v>
      </c>
      <c r="H88" s="14" t="s">
        <v>119</v>
      </c>
      <c r="I88" s="16" t="n">
        <v>496.9</v>
      </c>
      <c r="J88" s="17" t="n">
        <v>3.0691</v>
      </c>
      <c r="K88" s="18" t="n">
        <v>271.58</v>
      </c>
      <c r="L88" s="18" t="n">
        <v>1524.83</v>
      </c>
      <c r="M88" s="18" t="n">
        <f aca="false">IF(J88="","",ROUND(MAX(I88*J88,K88),2))</f>
        <v>1525.04</v>
      </c>
      <c r="N88" s="18" t="n">
        <f aca="false">IF(M88="","",ROUND(L88-M88,2))</f>
        <v>-0.21</v>
      </c>
      <c r="O88" s="19" t="n">
        <f aca="false">IF(M88="","",N88/M88)</f>
        <v>-0.000137701306195247</v>
      </c>
      <c r="P88" s="14" t="str">
        <f aca="false">IF(M88="","SEM TARIFA NO CONTRATO",IF(N88&gt;Resumo!$B$4,"ACIMA DA TABELA",IF(N88&lt;-Resumo!$B$4,"ABAIXO DA TABELA","OK")))</f>
        <v>OK</v>
      </c>
    </row>
    <row r="89" customFormat="false" ht="15" hidden="false" customHeight="false" outlineLevel="0" collapsed="false">
      <c r="A89" s="14" t="s">
        <v>234</v>
      </c>
      <c r="B89" s="14" t="s">
        <v>235</v>
      </c>
      <c r="C89" s="14" t="s">
        <v>25</v>
      </c>
      <c r="D89" s="15" t="n">
        <v>46066</v>
      </c>
      <c r="E89" s="14" t="n">
        <f aca="false">MONTH(D89)</f>
        <v>2</v>
      </c>
      <c r="F89" s="14" t="s">
        <v>88</v>
      </c>
      <c r="G89" s="14" t="s">
        <v>50</v>
      </c>
      <c r="H89" s="14" t="s">
        <v>89</v>
      </c>
      <c r="I89" s="16" t="n">
        <v>307.5</v>
      </c>
      <c r="J89" s="17" t="n">
        <v>1.6036</v>
      </c>
      <c r="K89" s="18" t="n">
        <v>163.02</v>
      </c>
      <c r="L89" s="18" t="n">
        <v>493.34</v>
      </c>
      <c r="M89" s="18" t="n">
        <f aca="false">IF(J89="","",ROUND(MAX(I89*J89,K89),2))</f>
        <v>493.11</v>
      </c>
      <c r="N89" s="18" t="n">
        <f aca="false">IF(M89="","",ROUND(L89-M89,2))</f>
        <v>0.23</v>
      </c>
      <c r="O89" s="19" t="n">
        <f aca="false">IF(M89="","",N89/M89)</f>
        <v>0.000466427369146844</v>
      </c>
      <c r="P89" s="14" t="str">
        <f aca="false">IF(M89="","SEM TARIFA NO CONTRATO",IF(N89&gt;Resumo!$B$4,"ACIMA DA TABELA",IF(N89&lt;-Resumo!$B$4,"ABAIXO DA TABELA","OK")))</f>
        <v>OK</v>
      </c>
    </row>
    <row r="90" customFormat="false" ht="15" hidden="false" customHeight="false" outlineLevel="0" collapsed="false">
      <c r="A90" s="14" t="s">
        <v>236</v>
      </c>
      <c r="B90" s="14" t="s">
        <v>237</v>
      </c>
      <c r="C90" s="14" t="s">
        <v>22</v>
      </c>
      <c r="D90" s="15" t="n">
        <v>46066</v>
      </c>
      <c r="E90" s="14" t="n">
        <f aca="false">MONTH(D90)</f>
        <v>2</v>
      </c>
      <c r="F90" s="14" t="s">
        <v>67</v>
      </c>
      <c r="G90" s="14" t="s">
        <v>50</v>
      </c>
      <c r="H90" s="14" t="s">
        <v>68</v>
      </c>
      <c r="I90" s="16" t="n">
        <v>725.5</v>
      </c>
      <c r="J90" s="17" t="n">
        <v>2.058</v>
      </c>
      <c r="K90" s="18" t="n">
        <v>201.6</v>
      </c>
      <c r="L90" s="18" t="n">
        <v>1641.98</v>
      </c>
      <c r="M90" s="18" t="n">
        <f aca="false">IF(J90="","",ROUND(MAX(I90*J90,K90),2))</f>
        <v>1493.08</v>
      </c>
      <c r="N90" s="18" t="n">
        <f aca="false">IF(M90="","",ROUND(L90-M90,2))</f>
        <v>148.9</v>
      </c>
      <c r="O90" s="19" t="n">
        <f aca="false">IF(M90="","",N90/M90)</f>
        <v>0.0997267393575696</v>
      </c>
      <c r="P90" s="14" t="str">
        <f aca="false">IF(M90="","SEM TARIFA NO CONTRATO",IF(N90&gt;Resumo!$B$4,"ACIMA DA TABELA",IF(N90&lt;-Resumo!$B$4,"ABAIXO DA TABELA","OK")))</f>
        <v>ACIMA DA TABELA</v>
      </c>
    </row>
    <row r="91" customFormat="false" ht="15" hidden="false" customHeight="false" outlineLevel="0" collapsed="false">
      <c r="A91" s="14" t="s">
        <v>238</v>
      </c>
      <c r="B91" s="14" t="s">
        <v>239</v>
      </c>
      <c r="C91" s="14" t="s">
        <v>24</v>
      </c>
      <c r="D91" s="15" t="n">
        <v>46067</v>
      </c>
      <c r="E91" s="14" t="n">
        <f aca="false">MONTH(D91)</f>
        <v>2</v>
      </c>
      <c r="F91" s="14" t="s">
        <v>61</v>
      </c>
      <c r="G91" s="14" t="s">
        <v>50</v>
      </c>
      <c r="H91" s="14" t="s">
        <v>62</v>
      </c>
      <c r="I91" s="16" t="n">
        <v>205.3</v>
      </c>
      <c r="J91" s="17" t="n">
        <v>1</v>
      </c>
      <c r="K91" s="18" t="n">
        <v>120</v>
      </c>
      <c r="L91" s="18" t="n">
        <v>186.48</v>
      </c>
      <c r="M91" s="18" t="n">
        <f aca="false">IF(J91="","",ROUND(MAX(I91*J91,K91),2))</f>
        <v>205.3</v>
      </c>
      <c r="N91" s="18" t="n">
        <f aca="false">IF(M91="","",ROUND(L91-M91,2))</f>
        <v>-18.82</v>
      </c>
      <c r="O91" s="19" t="n">
        <f aca="false">IF(M91="","",N91/M91)</f>
        <v>-0.09167072576717</v>
      </c>
      <c r="P91" s="14" t="str">
        <f aca="false">IF(M91="","SEM TARIFA NO CONTRATO",IF(N91&gt;Resumo!$B$4,"ACIMA DA TABELA",IF(N91&lt;-Resumo!$B$4,"ABAIXO DA TABELA","OK")))</f>
        <v>ABAIXO DA TABELA</v>
      </c>
    </row>
    <row r="92" customFormat="false" ht="15" hidden="false" customHeight="false" outlineLevel="0" collapsed="false">
      <c r="A92" s="14" t="s">
        <v>240</v>
      </c>
      <c r="B92" s="14" t="s">
        <v>241</v>
      </c>
      <c r="C92" s="14" t="s">
        <v>21</v>
      </c>
      <c r="D92" s="15" t="n">
        <v>46069</v>
      </c>
      <c r="E92" s="14" t="n">
        <f aca="false">MONTH(D92)</f>
        <v>2</v>
      </c>
      <c r="F92" s="14" t="s">
        <v>118</v>
      </c>
      <c r="G92" s="14" t="s">
        <v>50</v>
      </c>
      <c r="H92" s="14" t="s">
        <v>119</v>
      </c>
      <c r="I92" s="16" t="n">
        <v>455.7</v>
      </c>
      <c r="J92" s="17" t="n">
        <v>3.6696</v>
      </c>
      <c r="K92" s="18" t="n">
        <v>324.72</v>
      </c>
      <c r="L92" s="18" t="n">
        <v>1782.16</v>
      </c>
      <c r="M92" s="18" t="n">
        <f aca="false">IF(J92="","",ROUND(MAX(I92*J92,K92),2))</f>
        <v>1672.24</v>
      </c>
      <c r="N92" s="18" t="n">
        <f aca="false">IF(M92="","",ROUND(L92-M92,2))</f>
        <v>109.92</v>
      </c>
      <c r="O92" s="19" t="n">
        <f aca="false">IF(M92="","",N92/M92)</f>
        <v>0.065732191551452</v>
      </c>
      <c r="P92" s="14" t="str">
        <f aca="false">IF(M92="","SEM TARIFA NO CONTRATO",IF(N92&gt;Resumo!$B$4,"ACIMA DA TABELA",IF(N92&lt;-Resumo!$B$4,"ABAIXO DA TABELA","OK")))</f>
        <v>ACIMA DA TABELA</v>
      </c>
    </row>
    <row r="93" customFormat="false" ht="15" hidden="false" customHeight="false" outlineLevel="0" collapsed="false">
      <c r="A93" s="14" t="s">
        <v>242</v>
      </c>
      <c r="B93" s="14" t="s">
        <v>243</v>
      </c>
      <c r="C93" s="14" t="s">
        <v>25</v>
      </c>
      <c r="D93" s="15" t="n">
        <v>46069</v>
      </c>
      <c r="E93" s="14" t="n">
        <f aca="false">MONTH(D93)</f>
        <v>2</v>
      </c>
      <c r="F93" s="14" t="s">
        <v>44</v>
      </c>
      <c r="G93" s="14" t="s">
        <v>45</v>
      </c>
      <c r="H93" s="14" t="s">
        <v>46</v>
      </c>
      <c r="I93" s="16" t="n">
        <v>706.4</v>
      </c>
      <c r="J93" s="17" t="n">
        <v>0.8132</v>
      </c>
      <c r="K93" s="18" t="n">
        <v>103.74</v>
      </c>
      <c r="L93" s="18" t="n">
        <v>574.41</v>
      </c>
      <c r="M93" s="18" t="n">
        <f aca="false">IF(J93="","",ROUND(MAX(I93*J93,K93),2))</f>
        <v>574.44</v>
      </c>
      <c r="N93" s="18" t="n">
        <f aca="false">IF(M93="","",ROUND(L93-M93,2))</f>
        <v>-0.03</v>
      </c>
      <c r="O93" s="19" t="n">
        <f aca="false">IF(M93="","",N93/M93)</f>
        <v>-5.22247754334656E-005</v>
      </c>
      <c r="P93" s="14" t="str">
        <f aca="false">IF(M93="","SEM TARIFA NO CONTRATO",IF(N93&gt;Resumo!$B$4,"ACIMA DA TABELA",IF(N93&lt;-Resumo!$B$4,"ABAIXO DA TABELA","OK")))</f>
        <v>OK</v>
      </c>
    </row>
    <row r="94" customFormat="false" ht="15" hidden="false" customHeight="false" outlineLevel="0" collapsed="false">
      <c r="A94" s="14" t="s">
        <v>244</v>
      </c>
      <c r="B94" s="14" t="s">
        <v>245</v>
      </c>
      <c r="C94" s="14" t="s">
        <v>21</v>
      </c>
      <c r="D94" s="15" t="n">
        <v>46069</v>
      </c>
      <c r="E94" s="14" t="n">
        <f aca="false">MONTH(D94)</f>
        <v>2</v>
      </c>
      <c r="F94" s="14" t="s">
        <v>61</v>
      </c>
      <c r="G94" s="14" t="s">
        <v>50</v>
      </c>
      <c r="H94" s="14" t="s">
        <v>62</v>
      </c>
      <c r="I94" s="16" t="n">
        <v>3403.1</v>
      </c>
      <c r="J94" s="17" t="n">
        <v>1.1</v>
      </c>
      <c r="K94" s="18" t="n">
        <v>132</v>
      </c>
      <c r="L94" s="18" t="n">
        <v>3743.46</v>
      </c>
      <c r="M94" s="18" t="n">
        <f aca="false">IF(J94="","",ROUND(MAX(I94*J94,K94),2))</f>
        <v>3743.41</v>
      </c>
      <c r="N94" s="18" t="n">
        <f aca="false">IF(M94="","",ROUND(L94-M94,2))</f>
        <v>0.05</v>
      </c>
      <c r="O94" s="19" t="n">
        <f aca="false">IF(M94="","",N94/M94)</f>
        <v>1.33568056932049E-005</v>
      </c>
      <c r="P94" s="14" t="str">
        <f aca="false">IF(M94="","SEM TARIFA NO CONTRATO",IF(N94&gt;Resumo!$B$4,"ACIMA DA TABELA",IF(N94&lt;-Resumo!$B$4,"ABAIXO DA TABELA","OK")))</f>
        <v>OK</v>
      </c>
    </row>
    <row r="95" customFormat="false" ht="15" hidden="false" customHeight="false" outlineLevel="0" collapsed="false">
      <c r="A95" s="14" t="s">
        <v>246</v>
      </c>
      <c r="B95" s="14" t="s">
        <v>247</v>
      </c>
      <c r="C95" s="14" t="s">
        <v>23</v>
      </c>
      <c r="D95" s="15" t="n">
        <v>46070</v>
      </c>
      <c r="E95" s="14" t="n">
        <f aca="false">MONTH(D95)</f>
        <v>2</v>
      </c>
      <c r="F95" s="14" t="s">
        <v>44</v>
      </c>
      <c r="G95" s="14" t="s">
        <v>45</v>
      </c>
      <c r="H95" s="14" t="s">
        <v>46</v>
      </c>
      <c r="I95" s="16" t="n">
        <v>951.8</v>
      </c>
      <c r="J95" s="17" t="n">
        <v>0.7875</v>
      </c>
      <c r="K95" s="18" t="n">
        <v>100.46</v>
      </c>
      <c r="L95" s="18" t="n">
        <v>749.67</v>
      </c>
      <c r="M95" s="18" t="n">
        <f aca="false">IF(J95="","",ROUND(MAX(I95*J95,K95),2))</f>
        <v>749.54</v>
      </c>
      <c r="N95" s="18" t="n">
        <f aca="false">IF(M95="","",ROUND(L95-M95,2))</f>
        <v>0.13</v>
      </c>
      <c r="O95" s="19" t="n">
        <f aca="false">IF(M95="","",N95/M95)</f>
        <v>0.000173439709688609</v>
      </c>
      <c r="P95" s="14" t="str">
        <f aca="false">IF(M95="","SEM TARIFA NO CONTRATO",IF(N95&gt;Resumo!$B$4,"ACIMA DA TABELA",IF(N95&lt;-Resumo!$B$4,"ABAIXO DA TABELA","OK")))</f>
        <v>OK</v>
      </c>
    </row>
    <row r="96" customFormat="false" ht="15" hidden="false" customHeight="false" outlineLevel="0" collapsed="false">
      <c r="A96" s="14" t="s">
        <v>248</v>
      </c>
      <c r="B96" s="14" t="s">
        <v>249</v>
      </c>
      <c r="C96" s="14" t="s">
        <v>25</v>
      </c>
      <c r="D96" s="15" t="n">
        <v>46072</v>
      </c>
      <c r="E96" s="14" t="n">
        <f aca="false">MONTH(D96)</f>
        <v>2</v>
      </c>
      <c r="F96" s="14" t="s">
        <v>61</v>
      </c>
      <c r="G96" s="14" t="s">
        <v>50</v>
      </c>
      <c r="H96" s="14" t="s">
        <v>62</v>
      </c>
      <c r="I96" s="16" t="n">
        <v>1738.3</v>
      </c>
      <c r="J96" s="17" t="n">
        <v>0.95</v>
      </c>
      <c r="K96" s="18" t="n">
        <v>114</v>
      </c>
      <c r="L96" s="18" t="n">
        <v>1651.41</v>
      </c>
      <c r="M96" s="18" t="n">
        <f aca="false">IF(J96="","",ROUND(MAX(I96*J96,K96),2))</f>
        <v>1651.39</v>
      </c>
      <c r="N96" s="18" t="n">
        <f aca="false">IF(M96="","",ROUND(L96-M96,2))</f>
        <v>0.02</v>
      </c>
      <c r="O96" s="19" t="n">
        <f aca="false">IF(M96="","",N96/M96)</f>
        <v>1.2111009513198E-005</v>
      </c>
      <c r="P96" s="14" t="str">
        <f aca="false">IF(M96="","SEM TARIFA NO CONTRATO",IF(N96&gt;Resumo!$B$4,"ACIMA DA TABELA",IF(N96&lt;-Resumo!$B$4,"ABAIXO DA TABELA","OK")))</f>
        <v>OK</v>
      </c>
    </row>
    <row r="97" customFormat="false" ht="15" hidden="false" customHeight="false" outlineLevel="0" collapsed="false">
      <c r="A97" s="14" t="s">
        <v>250</v>
      </c>
      <c r="B97" s="14" t="s">
        <v>251</v>
      </c>
      <c r="C97" s="14" t="s">
        <v>21</v>
      </c>
      <c r="D97" s="15" t="n">
        <v>46072</v>
      </c>
      <c r="E97" s="14" t="n">
        <f aca="false">MONTH(D97)</f>
        <v>2</v>
      </c>
      <c r="F97" s="14" t="s">
        <v>61</v>
      </c>
      <c r="G97" s="14" t="s">
        <v>50</v>
      </c>
      <c r="H97" s="14" t="s">
        <v>62</v>
      </c>
      <c r="I97" s="16" t="n">
        <v>512</v>
      </c>
      <c r="J97" s="17" t="n">
        <v>1.1</v>
      </c>
      <c r="K97" s="18" t="n">
        <v>132</v>
      </c>
      <c r="L97" s="18" t="n">
        <v>664.44</v>
      </c>
      <c r="M97" s="18" t="n">
        <f aca="false">IF(J97="","",ROUND(MAX(I97*J97,K97),2))</f>
        <v>563.2</v>
      </c>
      <c r="N97" s="18" t="n">
        <f aca="false">IF(M97="","",ROUND(L97-M97,2))</f>
        <v>101.24</v>
      </c>
      <c r="O97" s="19" t="n">
        <f aca="false">IF(M97="","",N97/M97)</f>
        <v>0.179758522727273</v>
      </c>
      <c r="P97" s="14" t="str">
        <f aca="false">IF(M97="","SEM TARIFA NO CONTRATO",IF(N97&gt;Resumo!$B$4,"ACIMA DA TABELA",IF(N97&lt;-Resumo!$B$4,"ABAIXO DA TABELA","OK")))</f>
        <v>ACIMA DA TABELA</v>
      </c>
    </row>
    <row r="98" customFormat="false" ht="15" hidden="false" customHeight="false" outlineLevel="0" collapsed="false">
      <c r="A98" s="14" t="s">
        <v>252</v>
      </c>
      <c r="B98" s="14" t="s">
        <v>253</v>
      </c>
      <c r="C98" s="14" t="s">
        <v>23</v>
      </c>
      <c r="D98" s="15" t="n">
        <v>46072</v>
      </c>
      <c r="E98" s="14" t="n">
        <f aca="false">MONTH(D98)</f>
        <v>2</v>
      </c>
      <c r="F98" s="14" t="s">
        <v>88</v>
      </c>
      <c r="G98" s="14" t="s">
        <v>50</v>
      </c>
      <c r="H98" s="14" t="s">
        <v>89</v>
      </c>
      <c r="I98" s="16" t="n">
        <v>221.3</v>
      </c>
      <c r="J98" s="17" t="n">
        <v>1.553</v>
      </c>
      <c r="K98" s="18" t="n">
        <v>157.87</v>
      </c>
      <c r="L98" s="18" t="n">
        <v>343.59</v>
      </c>
      <c r="M98" s="18" t="n">
        <f aca="false">IF(J98="","",ROUND(MAX(I98*J98,K98),2))</f>
        <v>343.68</v>
      </c>
      <c r="N98" s="18" t="n">
        <f aca="false">IF(M98="","",ROUND(L98-M98,2))</f>
        <v>-0.09</v>
      </c>
      <c r="O98" s="19" t="n">
        <f aca="false">IF(M98="","",N98/M98)</f>
        <v>-0.000261871508379888</v>
      </c>
      <c r="P98" s="14" t="str">
        <f aca="false">IF(M98="","SEM TARIFA NO CONTRATO",IF(N98&gt;Resumo!$B$4,"ACIMA DA TABELA",IF(N98&lt;-Resumo!$B$4,"ABAIXO DA TABELA","OK")))</f>
        <v>OK</v>
      </c>
    </row>
    <row r="99" customFormat="false" ht="15" hidden="false" customHeight="false" outlineLevel="0" collapsed="false">
      <c r="A99" s="14" t="s">
        <v>254</v>
      </c>
      <c r="B99" s="14" t="s">
        <v>255</v>
      </c>
      <c r="C99" s="14" t="s">
        <v>24</v>
      </c>
      <c r="D99" s="15" t="n">
        <v>46073</v>
      </c>
      <c r="E99" s="14" t="n">
        <f aca="false">MONTH(D99)</f>
        <v>2</v>
      </c>
      <c r="F99" s="14" t="s">
        <v>67</v>
      </c>
      <c r="G99" s="14" t="s">
        <v>50</v>
      </c>
      <c r="H99" s="14" t="s">
        <v>68</v>
      </c>
      <c r="I99" s="16" t="n">
        <v>181</v>
      </c>
      <c r="J99" s="17" t="n">
        <v>1.96</v>
      </c>
      <c r="K99" s="18" t="n">
        <v>192</v>
      </c>
      <c r="L99" s="18" t="n">
        <v>354.53</v>
      </c>
      <c r="M99" s="18" t="n">
        <f aca="false">IF(J99="","",ROUND(MAX(I99*J99,K99),2))</f>
        <v>354.76</v>
      </c>
      <c r="N99" s="18" t="n">
        <f aca="false">IF(M99="","",ROUND(L99-M99,2))</f>
        <v>-0.23</v>
      </c>
      <c r="O99" s="19" t="n">
        <f aca="false">IF(M99="","",N99/M99)</f>
        <v>-0.000648325628593979</v>
      </c>
      <c r="P99" s="14" t="str">
        <f aca="false">IF(M99="","SEM TARIFA NO CONTRATO",IF(N99&gt;Resumo!$B$4,"ACIMA DA TABELA",IF(N99&lt;-Resumo!$B$4,"ABAIXO DA TABELA","OK")))</f>
        <v>OK</v>
      </c>
    </row>
    <row r="100" customFormat="false" ht="15" hidden="false" customHeight="false" outlineLevel="0" collapsed="false">
      <c r="A100" s="14" t="s">
        <v>256</v>
      </c>
      <c r="B100" s="14" t="s">
        <v>257</v>
      </c>
      <c r="C100" s="14" t="s">
        <v>23</v>
      </c>
      <c r="D100" s="15" t="n">
        <v>46073</v>
      </c>
      <c r="E100" s="14" t="n">
        <f aca="false">MONTH(D100)</f>
        <v>2</v>
      </c>
      <c r="F100" s="14" t="s">
        <v>88</v>
      </c>
      <c r="G100" s="14" t="s">
        <v>50</v>
      </c>
      <c r="H100" s="14" t="s">
        <v>89</v>
      </c>
      <c r="I100" s="16" t="n">
        <v>1652.5</v>
      </c>
      <c r="J100" s="17" t="n">
        <v>1.553</v>
      </c>
      <c r="K100" s="18" t="n">
        <v>157.87</v>
      </c>
      <c r="L100" s="18" t="n">
        <v>2566.41</v>
      </c>
      <c r="M100" s="18" t="n">
        <f aca="false">IF(J100="","",ROUND(MAX(I100*J100,K100),2))</f>
        <v>2566.33</v>
      </c>
      <c r="N100" s="18" t="n">
        <f aca="false">IF(M100="","",ROUND(L100-M100,2))</f>
        <v>0.08</v>
      </c>
      <c r="O100" s="19" t="n">
        <f aca="false">IF(M100="","",N100/M100)</f>
        <v>3.11729200843228E-005</v>
      </c>
      <c r="P100" s="14" t="str">
        <f aca="false">IF(M100="","SEM TARIFA NO CONTRATO",IF(N100&gt;Resumo!$B$4,"ACIMA DA TABELA",IF(N100&lt;-Resumo!$B$4,"ABAIXO DA TABELA","OK")))</f>
        <v>OK</v>
      </c>
    </row>
    <row r="101" customFormat="false" ht="15" hidden="false" customHeight="false" outlineLevel="0" collapsed="false">
      <c r="A101" s="14" t="s">
        <v>258</v>
      </c>
      <c r="B101" s="14" t="s">
        <v>259</v>
      </c>
      <c r="C101" s="14" t="s">
        <v>24</v>
      </c>
      <c r="D101" s="15" t="n">
        <v>46074</v>
      </c>
      <c r="E101" s="14" t="n">
        <f aca="false">MONTH(D101)</f>
        <v>2</v>
      </c>
      <c r="F101" s="14" t="s">
        <v>56</v>
      </c>
      <c r="G101" s="14" t="s">
        <v>50</v>
      </c>
      <c r="H101" s="14" t="s">
        <v>45</v>
      </c>
      <c r="I101" s="16" t="n">
        <v>694.8</v>
      </c>
      <c r="J101" s="17" t="n">
        <v>0.856</v>
      </c>
      <c r="K101" s="18" t="n">
        <v>109.2</v>
      </c>
      <c r="L101" s="18" t="n">
        <v>594.83</v>
      </c>
      <c r="M101" s="18" t="n">
        <f aca="false">IF(J101="","",ROUND(MAX(I101*J101,K101),2))</f>
        <v>594.75</v>
      </c>
      <c r="N101" s="18" t="n">
        <f aca="false">IF(M101="","",ROUND(L101-M101,2))</f>
        <v>0.08</v>
      </c>
      <c r="O101" s="19" t="n">
        <f aca="false">IF(M101="","",N101/M101)</f>
        <v>0.000134510298444725</v>
      </c>
      <c r="P101" s="14" t="str">
        <f aca="false">IF(M101="","SEM TARIFA NO CONTRATO",IF(N101&gt;Resumo!$B$4,"ACIMA DA TABELA",IF(N101&lt;-Resumo!$B$4,"ABAIXO DA TABELA","OK")))</f>
        <v>OK</v>
      </c>
    </row>
    <row r="102" customFormat="false" ht="15" hidden="false" customHeight="false" outlineLevel="0" collapsed="false">
      <c r="A102" s="14" t="s">
        <v>260</v>
      </c>
      <c r="B102" s="14" t="s">
        <v>261</v>
      </c>
      <c r="C102" s="14" t="s">
        <v>21</v>
      </c>
      <c r="D102" s="15" t="n">
        <v>46075</v>
      </c>
      <c r="E102" s="14" t="n">
        <f aca="false">MONTH(D102)</f>
        <v>2</v>
      </c>
      <c r="F102" s="14" t="s">
        <v>73</v>
      </c>
      <c r="G102" s="14" t="s">
        <v>50</v>
      </c>
      <c r="H102" s="14" t="s">
        <v>74</v>
      </c>
      <c r="I102" s="16" t="n">
        <v>335.5</v>
      </c>
      <c r="J102" s="17" t="n">
        <v>1.2584</v>
      </c>
      <c r="K102" s="18" t="n">
        <v>143.88</v>
      </c>
      <c r="L102" s="18" t="n">
        <v>445.17</v>
      </c>
      <c r="M102" s="18" t="n">
        <f aca="false">IF(J102="","",ROUND(MAX(I102*J102,K102),2))</f>
        <v>422.19</v>
      </c>
      <c r="N102" s="18" t="n">
        <f aca="false">IF(M102="","",ROUND(L102-M102,2))</f>
        <v>22.98</v>
      </c>
      <c r="O102" s="19" t="n">
        <f aca="false">IF(M102="","",N102/M102)</f>
        <v>0.0544304696937398</v>
      </c>
      <c r="P102" s="14" t="str">
        <f aca="false">IF(M102="","SEM TARIFA NO CONTRATO",IF(N102&gt;Resumo!$B$4,"ACIMA DA TABELA",IF(N102&lt;-Resumo!$B$4,"ABAIXO DA TABELA","OK")))</f>
        <v>ACIMA DA TABELA</v>
      </c>
    </row>
    <row r="103" customFormat="false" ht="15" hidden="false" customHeight="false" outlineLevel="0" collapsed="false">
      <c r="A103" s="14" t="s">
        <v>262</v>
      </c>
      <c r="B103" s="14" t="s">
        <v>263</v>
      </c>
      <c r="C103" s="14" t="s">
        <v>24</v>
      </c>
      <c r="D103" s="15" t="n">
        <v>46078</v>
      </c>
      <c r="E103" s="14" t="n">
        <f aca="false">MONTH(D103)</f>
        <v>2</v>
      </c>
      <c r="F103" s="14" t="s">
        <v>44</v>
      </c>
      <c r="G103" s="14" t="s">
        <v>45</v>
      </c>
      <c r="H103" s="14" t="s">
        <v>46</v>
      </c>
      <c r="I103" s="16" t="n">
        <v>408</v>
      </c>
      <c r="J103" s="17" t="n">
        <v>0.856</v>
      </c>
      <c r="K103" s="18" t="n">
        <v>109.2</v>
      </c>
      <c r="L103" s="18" t="n">
        <v>349.22</v>
      </c>
      <c r="M103" s="18" t="n">
        <f aca="false">IF(J103="","",ROUND(MAX(I103*J103,K103),2))</f>
        <v>349.25</v>
      </c>
      <c r="N103" s="18" t="n">
        <f aca="false">IF(M103="","",ROUND(L103-M103,2))</f>
        <v>-0.03</v>
      </c>
      <c r="O103" s="19" t="n">
        <f aca="false">IF(M103="","",N103/M103)</f>
        <v>-8.58983536148891E-005</v>
      </c>
      <c r="P103" s="14" t="str">
        <f aca="false">IF(M103="","SEM TARIFA NO CONTRATO",IF(N103&gt;Resumo!$B$4,"ACIMA DA TABELA",IF(N103&lt;-Resumo!$B$4,"ABAIXO DA TABELA","OK")))</f>
        <v>OK</v>
      </c>
    </row>
    <row r="104" customFormat="false" ht="15" hidden="false" customHeight="false" outlineLevel="0" collapsed="false">
      <c r="A104" s="14" t="s">
        <v>264</v>
      </c>
      <c r="B104" s="14" t="s">
        <v>265</v>
      </c>
      <c r="C104" s="14" t="s">
        <v>25</v>
      </c>
      <c r="D104" s="15" t="n">
        <v>46078</v>
      </c>
      <c r="E104" s="14" t="n">
        <f aca="false">MONTH(D104)</f>
        <v>2</v>
      </c>
      <c r="F104" s="14" t="s">
        <v>88</v>
      </c>
      <c r="G104" s="14" t="s">
        <v>50</v>
      </c>
      <c r="H104" s="14" t="s">
        <v>89</v>
      </c>
      <c r="I104" s="16" t="n">
        <v>448</v>
      </c>
      <c r="J104" s="17" t="n">
        <v>1.6036</v>
      </c>
      <c r="K104" s="18" t="n">
        <v>163.02</v>
      </c>
      <c r="L104" s="18" t="n">
        <v>718.5</v>
      </c>
      <c r="M104" s="18" t="n">
        <f aca="false">IF(J104="","",ROUND(MAX(I104*J104,K104),2))</f>
        <v>718.41</v>
      </c>
      <c r="N104" s="18" t="n">
        <f aca="false">IF(M104="","",ROUND(L104-M104,2))</f>
        <v>0.09</v>
      </c>
      <c r="O104" s="19" t="n">
        <f aca="false">IF(M104="","",N104/M104)</f>
        <v>0.000125276652607842</v>
      </c>
      <c r="P104" s="14" t="str">
        <f aca="false">IF(M104="","SEM TARIFA NO CONTRATO",IF(N104&gt;Resumo!$B$4,"ACIMA DA TABELA",IF(N104&lt;-Resumo!$B$4,"ABAIXO DA TABELA","OK")))</f>
        <v>OK</v>
      </c>
    </row>
    <row r="105" customFormat="false" ht="15" hidden="false" customHeight="false" outlineLevel="0" collapsed="false">
      <c r="A105" s="14" t="s">
        <v>266</v>
      </c>
      <c r="B105" s="14" t="s">
        <v>267</v>
      </c>
      <c r="C105" s="14" t="s">
        <v>24</v>
      </c>
      <c r="D105" s="15" t="n">
        <v>46078</v>
      </c>
      <c r="E105" s="14" t="n">
        <f aca="false">MONTH(D105)</f>
        <v>2</v>
      </c>
      <c r="F105" s="14" t="s">
        <v>67</v>
      </c>
      <c r="G105" s="14" t="s">
        <v>50</v>
      </c>
      <c r="H105" s="14" t="s">
        <v>68</v>
      </c>
      <c r="I105" s="16" t="n">
        <v>260.7</v>
      </c>
      <c r="J105" s="17" t="n">
        <v>1.96</v>
      </c>
      <c r="K105" s="18" t="n">
        <v>192</v>
      </c>
      <c r="L105" s="18" t="n">
        <v>510.94</v>
      </c>
      <c r="M105" s="18" t="n">
        <f aca="false">IF(J105="","",ROUND(MAX(I105*J105,K105),2))</f>
        <v>510.97</v>
      </c>
      <c r="N105" s="18" t="n">
        <f aca="false">IF(M105="","",ROUND(L105-M105,2))</f>
        <v>-0.03</v>
      </c>
      <c r="O105" s="19" t="n">
        <f aca="false">IF(M105="","",N105/M105)</f>
        <v>-5.87118617531362E-005</v>
      </c>
      <c r="P105" s="14" t="str">
        <f aca="false">IF(M105="","SEM TARIFA NO CONTRATO",IF(N105&gt;Resumo!$B$4,"ACIMA DA TABELA",IF(N105&lt;-Resumo!$B$4,"ABAIXO DA TABELA","OK")))</f>
        <v>OK</v>
      </c>
    </row>
    <row r="106" customFormat="false" ht="15" hidden="false" customHeight="false" outlineLevel="0" collapsed="false">
      <c r="A106" s="14" t="s">
        <v>268</v>
      </c>
      <c r="B106" s="14" t="s">
        <v>269</v>
      </c>
      <c r="C106" s="14" t="s">
        <v>25</v>
      </c>
      <c r="D106" s="15" t="n">
        <v>46079</v>
      </c>
      <c r="E106" s="14" t="n">
        <f aca="false">MONTH(D106)</f>
        <v>2</v>
      </c>
      <c r="F106" s="14" t="s">
        <v>73</v>
      </c>
      <c r="G106" s="14" t="s">
        <v>50</v>
      </c>
      <c r="H106" s="14" t="s">
        <v>74</v>
      </c>
      <c r="I106" s="16" t="n">
        <v>278.9</v>
      </c>
      <c r="J106" s="17" t="n">
        <v>1.0868</v>
      </c>
      <c r="K106" s="18" t="n">
        <v>124.26</v>
      </c>
      <c r="L106" s="18" t="n">
        <v>302.97</v>
      </c>
      <c r="M106" s="18" t="n">
        <f aca="false">IF(J106="","",ROUND(MAX(I106*J106,K106),2))</f>
        <v>303.11</v>
      </c>
      <c r="N106" s="18" t="n">
        <f aca="false">IF(M106="","",ROUND(L106-M106,2))</f>
        <v>-0.14</v>
      </c>
      <c r="O106" s="19" t="n">
        <f aca="false">IF(M106="","",N106/M106)</f>
        <v>-0.000461878525947676</v>
      </c>
      <c r="P106" s="14" t="str">
        <f aca="false">IF(M106="","SEM TARIFA NO CONTRATO",IF(N106&gt;Resumo!$B$4,"ACIMA DA TABELA",IF(N106&lt;-Resumo!$B$4,"ABAIXO DA TABELA","OK")))</f>
        <v>OK</v>
      </c>
    </row>
    <row r="107" customFormat="false" ht="15" hidden="false" customHeight="false" outlineLevel="0" collapsed="false">
      <c r="A107" s="14" t="s">
        <v>270</v>
      </c>
      <c r="B107" s="14" t="s">
        <v>271</v>
      </c>
      <c r="C107" s="14" t="s">
        <v>25</v>
      </c>
      <c r="D107" s="15" t="n">
        <v>46080</v>
      </c>
      <c r="E107" s="14" t="n">
        <f aca="false">MONTH(D107)</f>
        <v>2</v>
      </c>
      <c r="F107" s="14" t="s">
        <v>88</v>
      </c>
      <c r="G107" s="14" t="s">
        <v>50</v>
      </c>
      <c r="H107" s="14" t="s">
        <v>89</v>
      </c>
      <c r="I107" s="16" t="n">
        <v>110.4</v>
      </c>
      <c r="J107" s="17" t="n">
        <v>1.6036</v>
      </c>
      <c r="K107" s="18" t="n">
        <v>163.02</v>
      </c>
      <c r="L107" s="18" t="n">
        <v>177.04</v>
      </c>
      <c r="M107" s="18" t="n">
        <f aca="false">IF(J107="","",ROUND(MAX(I107*J107,K107),2))</f>
        <v>177.04</v>
      </c>
      <c r="N107" s="18" t="n">
        <f aca="false">IF(M107="","",ROUND(L107-M107,2))</f>
        <v>0</v>
      </c>
      <c r="O107" s="19" t="n">
        <f aca="false">IF(M107="","",N107/M107)</f>
        <v>0</v>
      </c>
      <c r="P107" s="14" t="str">
        <f aca="false">IF(M107="","SEM TARIFA NO CONTRATO",IF(N107&gt;Resumo!$B$4,"ACIMA DA TABELA",IF(N107&lt;-Resumo!$B$4,"ABAIXO DA TABELA","OK")))</f>
        <v>OK</v>
      </c>
    </row>
    <row r="108" customFormat="false" ht="15" hidden="false" customHeight="false" outlineLevel="0" collapsed="false">
      <c r="A108" s="14" t="s">
        <v>272</v>
      </c>
      <c r="B108" s="14" t="s">
        <v>273</v>
      </c>
      <c r="C108" s="14" t="s">
        <v>25</v>
      </c>
      <c r="D108" s="15" t="n">
        <v>46080</v>
      </c>
      <c r="E108" s="14" t="n">
        <f aca="false">MONTH(D108)</f>
        <v>2</v>
      </c>
      <c r="F108" s="14" t="s">
        <v>56</v>
      </c>
      <c r="G108" s="14" t="s">
        <v>50</v>
      </c>
      <c r="H108" s="14" t="s">
        <v>45</v>
      </c>
      <c r="I108" s="16" t="n">
        <v>1436.5</v>
      </c>
      <c r="J108" s="17" t="n">
        <v>0.8132</v>
      </c>
      <c r="K108" s="18" t="n">
        <v>103.74</v>
      </c>
      <c r="L108" s="18" t="n">
        <v>1109.13</v>
      </c>
      <c r="M108" s="18" t="n">
        <f aca="false">IF(J108="","",ROUND(MAX(I108*J108,K108),2))</f>
        <v>1168.16</v>
      </c>
      <c r="N108" s="18" t="n">
        <f aca="false">IF(M108="","",ROUND(L108-M108,2))</f>
        <v>-59.03</v>
      </c>
      <c r="O108" s="19" t="n">
        <f aca="false">IF(M108="","",N108/M108)</f>
        <v>-0.0505324613066703</v>
      </c>
      <c r="P108" s="14" t="str">
        <f aca="false">IF(M108="","SEM TARIFA NO CONTRATO",IF(N108&gt;Resumo!$B$4,"ACIMA DA TABELA",IF(N108&lt;-Resumo!$B$4,"ABAIXO DA TABELA","OK")))</f>
        <v>ABAIXO DA TABELA</v>
      </c>
    </row>
    <row r="109" customFormat="false" ht="15" hidden="false" customHeight="false" outlineLevel="0" collapsed="false">
      <c r="A109" s="14" t="s">
        <v>274</v>
      </c>
      <c r="B109" s="14" t="s">
        <v>275</v>
      </c>
      <c r="C109" s="14" t="s">
        <v>22</v>
      </c>
      <c r="D109" s="15" t="n">
        <v>46080</v>
      </c>
      <c r="E109" s="14" t="n">
        <f aca="false">MONTH(D109)</f>
        <v>2</v>
      </c>
      <c r="F109" s="14" t="s">
        <v>73</v>
      </c>
      <c r="G109" s="14" t="s">
        <v>50</v>
      </c>
      <c r="H109" s="14" t="s">
        <v>74</v>
      </c>
      <c r="I109" s="16" t="n">
        <v>803.3</v>
      </c>
      <c r="J109" s="17" t="n">
        <v>1.2012</v>
      </c>
      <c r="K109" s="18" t="n">
        <v>137.34</v>
      </c>
      <c r="L109" s="18" t="n">
        <v>965.02</v>
      </c>
      <c r="M109" s="18" t="n">
        <f aca="false">IF(J109="","",ROUND(MAX(I109*J109,K109),2))</f>
        <v>964.92</v>
      </c>
      <c r="N109" s="18" t="n">
        <f aca="false">IF(M109="","",ROUND(L109-M109,2))</f>
        <v>0.1</v>
      </c>
      <c r="O109" s="19" t="n">
        <f aca="false">IF(M109="","",N109/M109)</f>
        <v>0.000103635534552087</v>
      </c>
      <c r="P109" s="14" t="str">
        <f aca="false">IF(M109="","SEM TARIFA NO CONTRATO",IF(N109&gt;Resumo!$B$4,"ACIMA DA TABELA",IF(N109&lt;-Resumo!$B$4,"ABAIXO DA TABELA","OK")))</f>
        <v>OK</v>
      </c>
    </row>
    <row r="110" customFormat="false" ht="15" hidden="false" customHeight="false" outlineLevel="0" collapsed="false">
      <c r="A110" s="14" t="s">
        <v>276</v>
      </c>
      <c r="B110" s="14" t="s">
        <v>277</v>
      </c>
      <c r="C110" s="14" t="s">
        <v>21</v>
      </c>
      <c r="D110" s="15" t="n">
        <v>46081</v>
      </c>
      <c r="E110" s="14" t="n">
        <f aca="false">MONTH(D110)</f>
        <v>2</v>
      </c>
      <c r="F110" s="14" t="s">
        <v>61</v>
      </c>
      <c r="G110" s="14" t="s">
        <v>50</v>
      </c>
      <c r="H110" s="14" t="s">
        <v>62</v>
      </c>
      <c r="I110" s="16" t="n">
        <v>903.2</v>
      </c>
      <c r="J110" s="17" t="n">
        <v>1.1</v>
      </c>
      <c r="K110" s="18" t="n">
        <v>132</v>
      </c>
      <c r="L110" s="18" t="n">
        <v>993.33</v>
      </c>
      <c r="M110" s="18" t="n">
        <f aca="false">IF(J110="","",ROUND(MAX(I110*J110,K110),2))</f>
        <v>993.52</v>
      </c>
      <c r="N110" s="18" t="n">
        <f aca="false">IF(M110="","",ROUND(L110-M110,2))</f>
        <v>-0.19</v>
      </c>
      <c r="O110" s="19" t="n">
        <f aca="false">IF(M110="","",N110/M110)</f>
        <v>-0.000191239230211772</v>
      </c>
      <c r="P110" s="14" t="str">
        <f aca="false">IF(M110="","SEM TARIFA NO CONTRATO",IF(N110&gt;Resumo!$B$4,"ACIMA DA TABELA",IF(N110&lt;-Resumo!$B$4,"ABAIXO DA TABELA","OK")))</f>
        <v>OK</v>
      </c>
    </row>
    <row r="111" customFormat="false" ht="15" hidden="false" customHeight="false" outlineLevel="0" collapsed="false">
      <c r="A111" s="14" t="s">
        <v>278</v>
      </c>
      <c r="B111" s="14" t="s">
        <v>263</v>
      </c>
      <c r="C111" s="14" t="s">
        <v>24</v>
      </c>
      <c r="D111" s="15" t="n">
        <v>46082</v>
      </c>
      <c r="E111" s="14" t="n">
        <f aca="false">MONTH(D111)</f>
        <v>3</v>
      </c>
      <c r="F111" s="14" t="s">
        <v>44</v>
      </c>
      <c r="G111" s="14" t="s">
        <v>45</v>
      </c>
      <c r="H111" s="14" t="s">
        <v>46</v>
      </c>
      <c r="I111" s="16" t="n">
        <v>408</v>
      </c>
      <c r="J111" s="17" t="n">
        <v>0.856</v>
      </c>
      <c r="K111" s="18" t="n">
        <v>109.2</v>
      </c>
      <c r="L111" s="18" t="n">
        <v>349.22</v>
      </c>
      <c r="M111" s="18" t="n">
        <f aca="false">IF(J111="","",ROUND(MAX(I111*J111,K111),2))</f>
        <v>349.25</v>
      </c>
      <c r="N111" s="18" t="n">
        <f aca="false">IF(M111="","",ROUND(L111-M111,2))</f>
        <v>-0.03</v>
      </c>
      <c r="O111" s="19" t="n">
        <f aca="false">IF(M111="","",N111/M111)</f>
        <v>-8.58983536148891E-005</v>
      </c>
      <c r="P111" s="14" t="str">
        <f aca="false">IF(M111="","SEM TARIFA NO CONTRATO",IF(N111&gt;Resumo!$B$4,"ACIMA DA TABELA",IF(N111&lt;-Resumo!$B$4,"ABAIXO DA TABELA","OK")))</f>
        <v>OK</v>
      </c>
    </row>
    <row r="112" customFormat="false" ht="15" hidden="false" customHeight="false" outlineLevel="0" collapsed="false">
      <c r="A112" s="14" t="s">
        <v>279</v>
      </c>
      <c r="B112" s="14" t="s">
        <v>280</v>
      </c>
      <c r="C112" s="14" t="s">
        <v>25</v>
      </c>
      <c r="D112" s="15" t="n">
        <v>46082</v>
      </c>
      <c r="E112" s="14" t="n">
        <f aca="false">MONTH(D112)</f>
        <v>3</v>
      </c>
      <c r="F112" s="14" t="s">
        <v>56</v>
      </c>
      <c r="G112" s="14" t="s">
        <v>50</v>
      </c>
      <c r="H112" s="14" t="s">
        <v>45</v>
      </c>
      <c r="I112" s="16" t="n">
        <v>271.7</v>
      </c>
      <c r="J112" s="17" t="n">
        <v>0.8132</v>
      </c>
      <c r="K112" s="18" t="n">
        <v>103.74</v>
      </c>
      <c r="L112" s="18" t="n">
        <v>220.62</v>
      </c>
      <c r="M112" s="18" t="n">
        <f aca="false">IF(J112="","",ROUND(MAX(I112*J112,K112),2))</f>
        <v>220.95</v>
      </c>
      <c r="N112" s="18" t="n">
        <f aca="false">IF(M112="","",ROUND(L112-M112,2))</f>
        <v>-0.33</v>
      </c>
      <c r="O112" s="19" t="n">
        <f aca="false">IF(M112="","",N112/M112)</f>
        <v>-0.00149355057705363</v>
      </c>
      <c r="P112" s="14" t="str">
        <f aca="false">IF(M112="","SEM TARIFA NO CONTRATO",IF(N112&gt;Resumo!$B$4,"ACIMA DA TABELA",IF(N112&lt;-Resumo!$B$4,"ABAIXO DA TABELA","OK")))</f>
        <v>OK</v>
      </c>
    </row>
    <row r="113" customFormat="false" ht="15" hidden="false" customHeight="false" outlineLevel="0" collapsed="false">
      <c r="A113" s="14" t="s">
        <v>281</v>
      </c>
      <c r="B113" s="14" t="s">
        <v>282</v>
      </c>
      <c r="C113" s="14" t="s">
        <v>24</v>
      </c>
      <c r="D113" s="15" t="n">
        <v>46082</v>
      </c>
      <c r="E113" s="14" t="n">
        <f aca="false">MONTH(D113)</f>
        <v>3</v>
      </c>
      <c r="F113" s="14" t="s">
        <v>67</v>
      </c>
      <c r="G113" s="14" t="s">
        <v>50</v>
      </c>
      <c r="H113" s="14" t="s">
        <v>68</v>
      </c>
      <c r="I113" s="16" t="n">
        <v>209.8</v>
      </c>
      <c r="J113" s="17" t="n">
        <v>1.96</v>
      </c>
      <c r="K113" s="18" t="n">
        <v>192</v>
      </c>
      <c r="L113" s="18" t="n">
        <v>410.84</v>
      </c>
      <c r="M113" s="18" t="n">
        <f aca="false">IF(J113="","",ROUND(MAX(I113*J113,K113),2))</f>
        <v>411.21</v>
      </c>
      <c r="N113" s="18" t="n">
        <f aca="false">IF(M113="","",ROUND(L113-M113,2))</f>
        <v>-0.37</v>
      </c>
      <c r="O113" s="19" t="n">
        <f aca="false">IF(M113="","",N113/M113)</f>
        <v>-0.000899783565574767</v>
      </c>
      <c r="P113" s="14" t="str">
        <f aca="false">IF(M113="","SEM TARIFA NO CONTRATO",IF(N113&gt;Resumo!$B$4,"ACIMA DA TABELA",IF(N113&lt;-Resumo!$B$4,"ABAIXO DA TABELA","OK")))</f>
        <v>OK</v>
      </c>
    </row>
    <row r="114" customFormat="false" ht="15" hidden="false" customHeight="false" outlineLevel="0" collapsed="false">
      <c r="A114" s="14" t="s">
        <v>283</v>
      </c>
      <c r="B114" s="14" t="s">
        <v>284</v>
      </c>
      <c r="C114" s="14" t="s">
        <v>24</v>
      </c>
      <c r="D114" s="15" t="n">
        <v>46083</v>
      </c>
      <c r="E114" s="14" t="n">
        <f aca="false">MONTH(D114)</f>
        <v>3</v>
      </c>
      <c r="F114" s="14" t="s">
        <v>44</v>
      </c>
      <c r="G114" s="14" t="s">
        <v>45</v>
      </c>
      <c r="H114" s="14" t="s">
        <v>46</v>
      </c>
      <c r="I114" s="16" t="n">
        <v>103.7</v>
      </c>
      <c r="J114" s="17" t="n">
        <v>0.856</v>
      </c>
      <c r="K114" s="18" t="n">
        <v>109.2</v>
      </c>
      <c r="L114" s="18" t="n">
        <v>109.2</v>
      </c>
      <c r="M114" s="18" t="n">
        <f aca="false">IF(J114="","",ROUND(MAX(I114*J114,K114),2))</f>
        <v>109.2</v>
      </c>
      <c r="N114" s="18" t="n">
        <f aca="false">IF(M114="","",ROUND(L114-M114,2))</f>
        <v>0</v>
      </c>
      <c r="O114" s="19" t="n">
        <f aca="false">IF(M114="","",N114/M114)</f>
        <v>0</v>
      </c>
      <c r="P114" s="14" t="str">
        <f aca="false">IF(M114="","SEM TARIFA NO CONTRATO",IF(N114&gt;Resumo!$B$4,"ACIMA DA TABELA",IF(N114&lt;-Resumo!$B$4,"ABAIXO DA TABELA","OK")))</f>
        <v>OK</v>
      </c>
    </row>
    <row r="115" customFormat="false" ht="15" hidden="false" customHeight="false" outlineLevel="0" collapsed="false">
      <c r="A115" s="14" t="s">
        <v>285</v>
      </c>
      <c r="B115" s="14" t="s">
        <v>286</v>
      </c>
      <c r="C115" s="14" t="s">
        <v>24</v>
      </c>
      <c r="D115" s="15" t="n">
        <v>46083</v>
      </c>
      <c r="E115" s="14" t="n">
        <f aca="false">MONTH(D115)</f>
        <v>3</v>
      </c>
      <c r="F115" s="14" t="s">
        <v>67</v>
      </c>
      <c r="G115" s="14" t="s">
        <v>50</v>
      </c>
      <c r="H115" s="14" t="s">
        <v>68</v>
      </c>
      <c r="I115" s="16" t="n">
        <v>517.4</v>
      </c>
      <c r="J115" s="17" t="n">
        <v>1.96</v>
      </c>
      <c r="K115" s="18" t="n">
        <v>192</v>
      </c>
      <c r="L115" s="18" t="n">
        <v>1013.87</v>
      </c>
      <c r="M115" s="18" t="n">
        <f aca="false">IF(J115="","",ROUND(MAX(I115*J115,K115),2))</f>
        <v>1014.1</v>
      </c>
      <c r="N115" s="18" t="n">
        <f aca="false">IF(M115="","",ROUND(L115-M115,2))</f>
        <v>-0.23</v>
      </c>
      <c r="O115" s="19" t="n">
        <f aca="false">IF(M115="","",N115/M115)</f>
        <v>-0.000226802090523617</v>
      </c>
      <c r="P115" s="14" t="str">
        <f aca="false">IF(M115="","SEM TARIFA NO CONTRATO",IF(N115&gt;Resumo!$B$4,"ACIMA DA TABELA",IF(N115&lt;-Resumo!$B$4,"ABAIXO DA TABELA","OK")))</f>
        <v>OK</v>
      </c>
    </row>
    <row r="116" customFormat="false" ht="15" hidden="false" customHeight="false" outlineLevel="0" collapsed="false">
      <c r="A116" s="14" t="s">
        <v>287</v>
      </c>
      <c r="B116" s="14" t="s">
        <v>288</v>
      </c>
      <c r="C116" s="14" t="s">
        <v>25</v>
      </c>
      <c r="D116" s="15" t="n">
        <v>46083</v>
      </c>
      <c r="E116" s="14" t="n">
        <f aca="false">MONTH(D116)</f>
        <v>3</v>
      </c>
      <c r="F116" s="14" t="s">
        <v>67</v>
      </c>
      <c r="G116" s="14" t="s">
        <v>50</v>
      </c>
      <c r="H116" s="14" t="s">
        <v>68</v>
      </c>
      <c r="I116" s="16" t="n">
        <v>163.8</v>
      </c>
      <c r="J116" s="17"/>
      <c r="K116" s="18"/>
      <c r="L116" s="18" t="n">
        <v>401.31</v>
      </c>
      <c r="M116" s="18" t="str">
        <f aca="false">IF(J116="","",ROUND(MAX(I116*J116,K116),2))</f>
        <v/>
      </c>
      <c r="N116" s="18" t="str">
        <f aca="false">IF(M116="","",ROUND(L116-M116,2))</f>
        <v/>
      </c>
      <c r="O116" s="19" t="str">
        <f aca="false">IF(M116="","",N116/M116)</f>
        <v/>
      </c>
      <c r="P116" s="14" t="str">
        <f aca="false">IF(M116="","SEM TARIFA NO CONTRATO",IF(N116&gt;Resumo!$B$4,"ACIMA DA TABELA",IF(N116&lt;-Resumo!$B$4,"ABAIXO DA TABELA","OK")))</f>
        <v>SEM TARIFA NO CONTRATO</v>
      </c>
    </row>
    <row r="117" customFormat="false" ht="15" hidden="false" customHeight="false" outlineLevel="0" collapsed="false">
      <c r="A117" s="14" t="s">
        <v>289</v>
      </c>
      <c r="B117" s="14" t="s">
        <v>290</v>
      </c>
      <c r="C117" s="14" t="s">
        <v>23</v>
      </c>
      <c r="D117" s="15" t="n">
        <v>46084</v>
      </c>
      <c r="E117" s="14" t="n">
        <f aca="false">MONTH(D117)</f>
        <v>3</v>
      </c>
      <c r="F117" s="14" t="s">
        <v>49</v>
      </c>
      <c r="G117" s="14" t="s">
        <v>50</v>
      </c>
      <c r="H117" s="14" t="s">
        <v>51</v>
      </c>
      <c r="I117" s="16" t="n">
        <v>2402.9</v>
      </c>
      <c r="J117" s="17" t="n">
        <v>4.0848</v>
      </c>
      <c r="K117" s="18" t="n">
        <v>347.76</v>
      </c>
      <c r="L117" s="18" t="n">
        <v>10336.73</v>
      </c>
      <c r="M117" s="18" t="n">
        <f aca="false">IF(J117="","",ROUND(MAX(I117*J117,K117),2))</f>
        <v>9815.37</v>
      </c>
      <c r="N117" s="18" t="n">
        <f aca="false">IF(M117="","",ROUND(L117-M117,2))</f>
        <v>521.36</v>
      </c>
      <c r="O117" s="19" t="n">
        <f aca="false">IF(M117="","",N117/M117)</f>
        <v>0.0531166935123179</v>
      </c>
      <c r="P117" s="14" t="str">
        <f aca="false">IF(M117="","SEM TARIFA NO CONTRATO",IF(N117&gt;Resumo!$B$4,"ACIMA DA TABELA",IF(N117&lt;-Resumo!$B$4,"ABAIXO DA TABELA","OK")))</f>
        <v>ACIMA DA TABELA</v>
      </c>
    </row>
    <row r="118" customFormat="false" ht="15" hidden="false" customHeight="false" outlineLevel="0" collapsed="false">
      <c r="A118" s="14" t="s">
        <v>291</v>
      </c>
      <c r="B118" s="14" t="s">
        <v>292</v>
      </c>
      <c r="C118" s="14" t="s">
        <v>24</v>
      </c>
      <c r="D118" s="15" t="n">
        <v>46084</v>
      </c>
      <c r="E118" s="14" t="n">
        <f aca="false">MONTH(D118)</f>
        <v>3</v>
      </c>
      <c r="F118" s="14" t="s">
        <v>73</v>
      </c>
      <c r="G118" s="14" t="s">
        <v>50</v>
      </c>
      <c r="H118" s="14" t="s">
        <v>74</v>
      </c>
      <c r="I118" s="16" t="n">
        <v>1413.3</v>
      </c>
      <c r="J118" s="17" t="n">
        <v>1.144</v>
      </c>
      <c r="K118" s="18" t="n">
        <v>130.8</v>
      </c>
      <c r="L118" s="18" t="n">
        <v>1616.45</v>
      </c>
      <c r="M118" s="18" t="n">
        <f aca="false">IF(J118="","",ROUND(MAX(I118*J118,K118),2))</f>
        <v>1616.82</v>
      </c>
      <c r="N118" s="18" t="n">
        <f aca="false">IF(M118="","",ROUND(L118-M118,2))</f>
        <v>-0.37</v>
      </c>
      <c r="O118" s="19" t="n">
        <f aca="false">IF(M118="","",N118/M118)</f>
        <v>-0.00022884427456365</v>
      </c>
      <c r="P118" s="14" t="str">
        <f aca="false">IF(M118="","SEM TARIFA NO CONTRATO",IF(N118&gt;Resumo!$B$4,"ACIMA DA TABELA",IF(N118&lt;-Resumo!$B$4,"ABAIXO DA TABELA","OK")))</f>
        <v>OK</v>
      </c>
    </row>
    <row r="119" customFormat="false" ht="15" hidden="false" customHeight="false" outlineLevel="0" collapsed="false">
      <c r="A119" s="14" t="s">
        <v>293</v>
      </c>
      <c r="B119" s="14" t="s">
        <v>294</v>
      </c>
      <c r="C119" s="14" t="s">
        <v>25</v>
      </c>
      <c r="D119" s="15" t="n">
        <v>46084</v>
      </c>
      <c r="E119" s="14" t="n">
        <f aca="false">MONTH(D119)</f>
        <v>3</v>
      </c>
      <c r="F119" s="14" t="s">
        <v>104</v>
      </c>
      <c r="G119" s="14" t="s">
        <v>45</v>
      </c>
      <c r="H119" s="14" t="s">
        <v>68</v>
      </c>
      <c r="I119" s="16" t="n">
        <v>1031.1</v>
      </c>
      <c r="J119" s="17" t="n">
        <v>1.254</v>
      </c>
      <c r="K119" s="18" t="n">
        <v>136.8</v>
      </c>
      <c r="L119" s="18" t="n">
        <v>1218.26</v>
      </c>
      <c r="M119" s="18" t="n">
        <f aca="false">IF(J119="","",ROUND(MAX(I119*J119,K119),2))</f>
        <v>1293</v>
      </c>
      <c r="N119" s="18" t="n">
        <f aca="false">IF(M119="","",ROUND(L119-M119,2))</f>
        <v>-74.74</v>
      </c>
      <c r="O119" s="19" t="n">
        <f aca="false">IF(M119="","",N119/M119)</f>
        <v>-0.0578035576179428</v>
      </c>
      <c r="P119" s="14" t="str">
        <f aca="false">IF(M119="","SEM TARIFA NO CONTRATO",IF(N119&gt;Resumo!$B$4,"ACIMA DA TABELA",IF(N119&lt;-Resumo!$B$4,"ABAIXO DA TABELA","OK")))</f>
        <v>ABAIXO DA TABELA</v>
      </c>
    </row>
    <row r="120" customFormat="false" ht="15" hidden="false" customHeight="false" outlineLevel="0" collapsed="false">
      <c r="A120" s="14" t="s">
        <v>295</v>
      </c>
      <c r="B120" s="14" t="s">
        <v>296</v>
      </c>
      <c r="C120" s="14" t="s">
        <v>21</v>
      </c>
      <c r="D120" s="15" t="n">
        <v>46088</v>
      </c>
      <c r="E120" s="14" t="n">
        <f aca="false">MONTH(D120)</f>
        <v>3</v>
      </c>
      <c r="F120" s="14" t="s">
        <v>61</v>
      </c>
      <c r="G120" s="14" t="s">
        <v>50</v>
      </c>
      <c r="H120" s="14" t="s">
        <v>62</v>
      </c>
      <c r="I120" s="16" t="n">
        <v>1652.8</v>
      </c>
      <c r="J120" s="17" t="n">
        <v>1.1</v>
      </c>
      <c r="K120" s="18" t="n">
        <v>132</v>
      </c>
      <c r="L120" s="18" t="n">
        <v>1818.32</v>
      </c>
      <c r="M120" s="18" t="n">
        <f aca="false">IF(J120="","",ROUND(MAX(I120*J120,K120),2))</f>
        <v>1818.08</v>
      </c>
      <c r="N120" s="18" t="n">
        <f aca="false">IF(M120="","",ROUND(L120-M120,2))</f>
        <v>0.24</v>
      </c>
      <c r="O120" s="19" t="n">
        <f aca="false">IF(M120="","",N120/M120)</f>
        <v>0.000132007392413975</v>
      </c>
      <c r="P120" s="14" t="str">
        <f aca="false">IF(M120="","SEM TARIFA NO CONTRATO",IF(N120&gt;Resumo!$B$4,"ACIMA DA TABELA",IF(N120&lt;-Resumo!$B$4,"ABAIXO DA TABELA","OK")))</f>
        <v>OK</v>
      </c>
    </row>
    <row r="121" customFormat="false" ht="15" hidden="false" customHeight="false" outlineLevel="0" collapsed="false">
      <c r="A121" s="14" t="s">
        <v>297</v>
      </c>
      <c r="B121" s="14" t="s">
        <v>298</v>
      </c>
      <c r="C121" s="14" t="s">
        <v>21</v>
      </c>
      <c r="D121" s="15" t="n">
        <v>46089</v>
      </c>
      <c r="E121" s="14" t="n">
        <f aca="false">MONTH(D121)</f>
        <v>3</v>
      </c>
      <c r="F121" s="14" t="s">
        <v>73</v>
      </c>
      <c r="G121" s="14" t="s">
        <v>50</v>
      </c>
      <c r="H121" s="14" t="s">
        <v>74</v>
      </c>
      <c r="I121" s="16" t="n">
        <v>153.7</v>
      </c>
      <c r="J121" s="17" t="n">
        <v>1.2584</v>
      </c>
      <c r="K121" s="18" t="n">
        <v>143.88</v>
      </c>
      <c r="L121" s="18" t="n">
        <v>205.89</v>
      </c>
      <c r="M121" s="18" t="n">
        <f aca="false">IF(J121="","",ROUND(MAX(I121*J121,K121),2))</f>
        <v>193.42</v>
      </c>
      <c r="N121" s="18" t="n">
        <f aca="false">IF(M121="","",ROUND(L121-M121,2))</f>
        <v>12.47</v>
      </c>
      <c r="O121" s="19" t="n">
        <f aca="false">IF(M121="","",N121/M121)</f>
        <v>0.0644710991624444</v>
      </c>
      <c r="P121" s="14" t="str">
        <f aca="false">IF(M121="","SEM TARIFA NO CONTRATO",IF(N121&gt;Resumo!$B$4,"ACIMA DA TABELA",IF(N121&lt;-Resumo!$B$4,"ABAIXO DA TABELA","OK")))</f>
        <v>ACIMA DA TABELA</v>
      </c>
    </row>
    <row r="122" customFormat="false" ht="15" hidden="false" customHeight="false" outlineLevel="0" collapsed="false">
      <c r="A122" s="14" t="s">
        <v>299</v>
      </c>
      <c r="B122" s="14" t="s">
        <v>300</v>
      </c>
      <c r="C122" s="14" t="s">
        <v>23</v>
      </c>
      <c r="D122" s="15" t="n">
        <v>46089</v>
      </c>
      <c r="E122" s="14" t="n">
        <f aca="false">MONTH(D122)</f>
        <v>3</v>
      </c>
      <c r="F122" s="14" t="s">
        <v>118</v>
      </c>
      <c r="G122" s="14" t="s">
        <v>50</v>
      </c>
      <c r="H122" s="14" t="s">
        <v>119</v>
      </c>
      <c r="I122" s="16" t="n">
        <v>143.3</v>
      </c>
      <c r="J122" s="17" t="n">
        <v>3.0691</v>
      </c>
      <c r="K122" s="18" t="n">
        <v>271.58</v>
      </c>
      <c r="L122" s="18" t="n">
        <v>460.61</v>
      </c>
      <c r="M122" s="18" t="n">
        <f aca="false">IF(J122="","",ROUND(MAX(I122*J122,K122),2))</f>
        <v>439.8</v>
      </c>
      <c r="N122" s="18" t="n">
        <f aca="false">IF(M122="","",ROUND(L122-M122,2))</f>
        <v>20.81</v>
      </c>
      <c r="O122" s="19" t="n">
        <f aca="false">IF(M122="","",N122/M122)</f>
        <v>0.0473169622555707</v>
      </c>
      <c r="P122" s="14" t="str">
        <f aca="false">IF(M122="","SEM TARIFA NO CONTRATO",IF(N122&gt;Resumo!$B$4,"ACIMA DA TABELA",IF(N122&lt;-Resumo!$B$4,"ABAIXO DA TABELA","OK")))</f>
        <v>ACIMA DA TABELA</v>
      </c>
    </row>
    <row r="123" customFormat="false" ht="15" hidden="false" customHeight="false" outlineLevel="0" collapsed="false">
      <c r="A123" s="14" t="s">
        <v>301</v>
      </c>
      <c r="B123" s="14" t="s">
        <v>302</v>
      </c>
      <c r="C123" s="14" t="s">
        <v>21</v>
      </c>
      <c r="D123" s="15" t="n">
        <v>46090</v>
      </c>
      <c r="E123" s="14" t="n">
        <f aca="false">MONTH(D123)</f>
        <v>3</v>
      </c>
      <c r="F123" s="14" t="s">
        <v>88</v>
      </c>
      <c r="G123" s="14" t="s">
        <v>50</v>
      </c>
      <c r="H123" s="14" t="s">
        <v>89</v>
      </c>
      <c r="I123" s="16" t="n">
        <v>200.8</v>
      </c>
      <c r="J123" s="17" t="n">
        <v>1.8568</v>
      </c>
      <c r="K123" s="18" t="n">
        <v>188.76</v>
      </c>
      <c r="L123" s="18" t="n">
        <v>395.64</v>
      </c>
      <c r="M123" s="18" t="n">
        <f aca="false">IF(J123="","",ROUND(MAX(I123*J123,K123),2))</f>
        <v>372.85</v>
      </c>
      <c r="N123" s="18" t="n">
        <f aca="false">IF(M123="","",ROUND(L123-M123,2))</f>
        <v>22.79</v>
      </c>
      <c r="O123" s="19" t="n">
        <f aca="false">IF(M123="","",N123/M123)</f>
        <v>0.061123776317554</v>
      </c>
      <c r="P123" s="14" t="str">
        <f aca="false">IF(M123="","SEM TARIFA NO CONTRATO",IF(N123&gt;Resumo!$B$4,"ACIMA DA TABELA",IF(N123&lt;-Resumo!$B$4,"ABAIXO DA TABELA","OK")))</f>
        <v>ACIMA DA TABELA</v>
      </c>
    </row>
    <row r="124" customFormat="false" ht="15" hidden="false" customHeight="false" outlineLevel="0" collapsed="false">
      <c r="A124" s="14" t="s">
        <v>303</v>
      </c>
      <c r="B124" s="14" t="s">
        <v>304</v>
      </c>
      <c r="C124" s="14" t="s">
        <v>22</v>
      </c>
      <c r="D124" s="15" t="n">
        <v>46090</v>
      </c>
      <c r="E124" s="14" t="n">
        <f aca="false">MONTH(D124)</f>
        <v>3</v>
      </c>
      <c r="F124" s="14" t="s">
        <v>118</v>
      </c>
      <c r="G124" s="14" t="s">
        <v>50</v>
      </c>
      <c r="H124" s="14" t="s">
        <v>119</v>
      </c>
      <c r="I124" s="16" t="n">
        <v>511.7</v>
      </c>
      <c r="J124" s="17" t="n">
        <v>3.5028</v>
      </c>
      <c r="K124" s="18" t="n">
        <v>309.96</v>
      </c>
      <c r="L124" s="18" t="n">
        <v>1792.03</v>
      </c>
      <c r="M124" s="18" t="n">
        <f aca="false">IF(J124="","",ROUND(MAX(I124*J124,K124),2))</f>
        <v>1792.38</v>
      </c>
      <c r="N124" s="18" t="n">
        <f aca="false">IF(M124="","",ROUND(L124-M124,2))</f>
        <v>-0.35</v>
      </c>
      <c r="O124" s="19" t="n">
        <f aca="false">IF(M124="","",N124/M124)</f>
        <v>-0.00019527109206753</v>
      </c>
      <c r="P124" s="14" t="str">
        <f aca="false">IF(M124="","SEM TARIFA NO CONTRATO",IF(N124&gt;Resumo!$B$4,"ACIMA DA TABELA",IF(N124&lt;-Resumo!$B$4,"ABAIXO DA TABELA","OK")))</f>
        <v>OK</v>
      </c>
    </row>
    <row r="125" customFormat="false" ht="15" hidden="false" customHeight="false" outlineLevel="0" collapsed="false">
      <c r="A125" s="14" t="s">
        <v>305</v>
      </c>
      <c r="B125" s="14" t="s">
        <v>306</v>
      </c>
      <c r="C125" s="14" t="s">
        <v>24</v>
      </c>
      <c r="D125" s="15" t="n">
        <v>46090</v>
      </c>
      <c r="E125" s="14" t="n">
        <f aca="false">MONTH(D125)</f>
        <v>3</v>
      </c>
      <c r="F125" s="14" t="s">
        <v>79</v>
      </c>
      <c r="G125" s="14" t="s">
        <v>50</v>
      </c>
      <c r="H125" s="14" t="s">
        <v>46</v>
      </c>
      <c r="I125" s="16" t="n">
        <v>665.8</v>
      </c>
      <c r="J125" s="17" t="n">
        <v>0.36</v>
      </c>
      <c r="K125" s="18" t="n">
        <v>72</v>
      </c>
      <c r="L125" s="18" t="n">
        <v>262.45</v>
      </c>
      <c r="M125" s="18" t="n">
        <f aca="false">IF(J125="","",ROUND(MAX(I125*J125,K125),2))</f>
        <v>239.69</v>
      </c>
      <c r="N125" s="18" t="n">
        <f aca="false">IF(M125="","",ROUND(L125-M125,2))</f>
        <v>22.76</v>
      </c>
      <c r="O125" s="19" t="n">
        <f aca="false">IF(M125="","",N125/M125)</f>
        <v>0.0949559848137177</v>
      </c>
      <c r="P125" s="14" t="str">
        <f aca="false">IF(M125="","SEM TARIFA NO CONTRATO",IF(N125&gt;Resumo!$B$4,"ACIMA DA TABELA",IF(N125&lt;-Resumo!$B$4,"ABAIXO DA TABELA","OK")))</f>
        <v>ACIMA DA TABELA</v>
      </c>
    </row>
    <row r="126" customFormat="false" ht="15" hidden="false" customHeight="false" outlineLevel="0" collapsed="false">
      <c r="A126" s="14" t="s">
        <v>307</v>
      </c>
      <c r="B126" s="14" t="s">
        <v>308</v>
      </c>
      <c r="C126" s="14" t="s">
        <v>24</v>
      </c>
      <c r="D126" s="15" t="n">
        <v>46090</v>
      </c>
      <c r="E126" s="14" t="n">
        <f aca="false">MONTH(D126)</f>
        <v>3</v>
      </c>
      <c r="F126" s="14" t="s">
        <v>56</v>
      </c>
      <c r="G126" s="14" t="s">
        <v>50</v>
      </c>
      <c r="H126" s="14" t="s">
        <v>45</v>
      </c>
      <c r="I126" s="16" t="n">
        <v>471.2</v>
      </c>
      <c r="J126" s="17" t="n">
        <v>0.856</v>
      </c>
      <c r="K126" s="18" t="n">
        <v>109.2</v>
      </c>
      <c r="L126" s="18" t="n">
        <v>403.02</v>
      </c>
      <c r="M126" s="18" t="n">
        <f aca="false">IF(J126="","",ROUND(MAX(I126*J126,K126),2))</f>
        <v>403.35</v>
      </c>
      <c r="N126" s="18" t="n">
        <f aca="false">IF(M126="","",ROUND(L126-M126,2))</f>
        <v>-0.33</v>
      </c>
      <c r="O126" s="19" t="n">
        <f aca="false">IF(M126="","",N126/M126)</f>
        <v>-0.000818148010412793</v>
      </c>
      <c r="P126" s="14" t="str">
        <f aca="false">IF(M126="","SEM TARIFA NO CONTRATO",IF(N126&gt;Resumo!$B$4,"ACIMA DA TABELA",IF(N126&lt;-Resumo!$B$4,"ABAIXO DA TABELA","OK")))</f>
        <v>OK</v>
      </c>
    </row>
    <row r="127" customFormat="false" ht="15" hidden="false" customHeight="false" outlineLevel="0" collapsed="false">
      <c r="A127" s="14" t="s">
        <v>309</v>
      </c>
      <c r="B127" s="14" t="s">
        <v>310</v>
      </c>
      <c r="C127" s="14" t="s">
        <v>22</v>
      </c>
      <c r="D127" s="15" t="n">
        <v>46090</v>
      </c>
      <c r="E127" s="14" t="n">
        <f aca="false">MONTH(D127)</f>
        <v>3</v>
      </c>
      <c r="F127" s="14" t="s">
        <v>73</v>
      </c>
      <c r="G127" s="14" t="s">
        <v>50</v>
      </c>
      <c r="H127" s="14" t="s">
        <v>74</v>
      </c>
      <c r="I127" s="16" t="n">
        <v>63.5</v>
      </c>
      <c r="J127" s="17" t="n">
        <v>1.2012</v>
      </c>
      <c r="K127" s="18" t="n">
        <v>137.34</v>
      </c>
      <c r="L127" s="18" t="n">
        <v>137.43</v>
      </c>
      <c r="M127" s="18" t="n">
        <f aca="false">IF(J127="","",ROUND(MAX(I127*J127,K127),2))</f>
        <v>137.34</v>
      </c>
      <c r="N127" s="18" t="n">
        <f aca="false">IF(M127="","",ROUND(L127-M127,2))</f>
        <v>0.09</v>
      </c>
      <c r="O127" s="19" t="n">
        <f aca="false">IF(M127="","",N127/M127)</f>
        <v>0.000655307994757536</v>
      </c>
      <c r="P127" s="14" t="str">
        <f aca="false">IF(M127="","SEM TARIFA NO CONTRATO",IF(N127&gt;Resumo!$B$4,"ACIMA DA TABELA",IF(N127&lt;-Resumo!$B$4,"ABAIXO DA TABELA","OK")))</f>
        <v>OK</v>
      </c>
    </row>
    <row r="128" customFormat="false" ht="15" hidden="false" customHeight="false" outlineLevel="0" collapsed="false">
      <c r="A128" s="14" t="s">
        <v>311</v>
      </c>
      <c r="B128" s="14" t="s">
        <v>312</v>
      </c>
      <c r="C128" s="14" t="s">
        <v>21</v>
      </c>
      <c r="D128" s="15" t="n">
        <v>46091</v>
      </c>
      <c r="E128" s="14" t="n">
        <f aca="false">MONTH(D128)</f>
        <v>3</v>
      </c>
      <c r="F128" s="14" t="s">
        <v>118</v>
      </c>
      <c r="G128" s="14" t="s">
        <v>50</v>
      </c>
      <c r="H128" s="14" t="s">
        <v>119</v>
      </c>
      <c r="I128" s="16" t="n">
        <v>1365</v>
      </c>
      <c r="J128" s="17" t="n">
        <v>3.6696</v>
      </c>
      <c r="K128" s="18" t="n">
        <v>324.72</v>
      </c>
      <c r="L128" s="18" t="n">
        <v>5339.59</v>
      </c>
      <c r="M128" s="18" t="n">
        <f aca="false">IF(J128="","",ROUND(MAX(I128*J128,K128),2))</f>
        <v>5009</v>
      </c>
      <c r="N128" s="18" t="n">
        <f aca="false">IF(M128="","",ROUND(L128-M128,2))</f>
        <v>330.59</v>
      </c>
      <c r="O128" s="19" t="n">
        <f aca="false">IF(M128="","",N128/M128)</f>
        <v>0.0659992014374127</v>
      </c>
      <c r="P128" s="14" t="str">
        <f aca="false">IF(M128="","SEM TARIFA NO CONTRATO",IF(N128&gt;Resumo!$B$4,"ACIMA DA TABELA",IF(N128&lt;-Resumo!$B$4,"ABAIXO DA TABELA","OK")))</f>
        <v>ACIMA DA TABELA</v>
      </c>
    </row>
    <row r="129" customFormat="false" ht="15" hidden="false" customHeight="false" outlineLevel="0" collapsed="false">
      <c r="A129" s="14" t="s">
        <v>313</v>
      </c>
      <c r="B129" s="14" t="s">
        <v>314</v>
      </c>
      <c r="C129" s="14" t="s">
        <v>24</v>
      </c>
      <c r="D129" s="15" t="n">
        <v>46091</v>
      </c>
      <c r="E129" s="14" t="n">
        <f aca="false">MONTH(D129)</f>
        <v>3</v>
      </c>
      <c r="F129" s="14" t="s">
        <v>44</v>
      </c>
      <c r="G129" s="14" t="s">
        <v>45</v>
      </c>
      <c r="H129" s="14" t="s">
        <v>46</v>
      </c>
      <c r="I129" s="16" t="n">
        <v>708.7</v>
      </c>
      <c r="J129" s="17" t="n">
        <v>0.856</v>
      </c>
      <c r="K129" s="18" t="n">
        <v>109.2</v>
      </c>
      <c r="L129" s="18" t="n">
        <v>606.39</v>
      </c>
      <c r="M129" s="18" t="n">
        <f aca="false">IF(J129="","",ROUND(MAX(I129*J129,K129),2))</f>
        <v>606.65</v>
      </c>
      <c r="N129" s="18" t="n">
        <f aca="false">IF(M129="","",ROUND(L129-M129,2))</f>
        <v>-0.26</v>
      </c>
      <c r="O129" s="19" t="n">
        <f aca="false">IF(M129="","",N129/M129)</f>
        <v>-0.000428583202835243</v>
      </c>
      <c r="P129" s="14" t="str">
        <f aca="false">IF(M129="","SEM TARIFA NO CONTRATO",IF(N129&gt;Resumo!$B$4,"ACIMA DA TABELA",IF(N129&lt;-Resumo!$B$4,"ABAIXO DA TABELA","OK")))</f>
        <v>OK</v>
      </c>
    </row>
    <row r="130" customFormat="false" ht="15" hidden="false" customHeight="false" outlineLevel="0" collapsed="false">
      <c r="A130" s="14" t="s">
        <v>315</v>
      </c>
      <c r="B130" s="14" t="s">
        <v>316</v>
      </c>
      <c r="C130" s="14" t="s">
        <v>22</v>
      </c>
      <c r="D130" s="15" t="n">
        <v>46091</v>
      </c>
      <c r="E130" s="14" t="n">
        <f aca="false">MONTH(D130)</f>
        <v>3</v>
      </c>
      <c r="F130" s="14" t="s">
        <v>67</v>
      </c>
      <c r="G130" s="14" t="s">
        <v>50</v>
      </c>
      <c r="H130" s="14" t="s">
        <v>68</v>
      </c>
      <c r="I130" s="16" t="n">
        <v>440.8</v>
      </c>
      <c r="J130" s="17" t="n">
        <v>2.058</v>
      </c>
      <c r="K130" s="18" t="n">
        <v>201.6</v>
      </c>
      <c r="L130" s="18" t="n">
        <v>907.08</v>
      </c>
      <c r="M130" s="18" t="n">
        <f aca="false">IF(J130="","",ROUND(MAX(I130*J130,K130),2))</f>
        <v>907.17</v>
      </c>
      <c r="N130" s="18" t="n">
        <f aca="false">IF(M130="","",ROUND(L130-M130,2))</f>
        <v>-0.09</v>
      </c>
      <c r="O130" s="19" t="n">
        <f aca="false">IF(M130="","",N130/M130)</f>
        <v>-9.92096299480803E-005</v>
      </c>
      <c r="P130" s="14" t="str">
        <f aca="false">IF(M130="","SEM TARIFA NO CONTRATO",IF(N130&gt;Resumo!$B$4,"ACIMA DA TABELA",IF(N130&lt;-Resumo!$B$4,"ABAIXO DA TABELA","OK")))</f>
        <v>OK</v>
      </c>
    </row>
    <row r="131" customFormat="false" ht="15" hidden="false" customHeight="false" outlineLevel="0" collapsed="false">
      <c r="A131" s="14" t="s">
        <v>317</v>
      </c>
      <c r="B131" s="14" t="s">
        <v>318</v>
      </c>
      <c r="C131" s="14" t="s">
        <v>21</v>
      </c>
      <c r="D131" s="15" t="n">
        <v>46092</v>
      </c>
      <c r="E131" s="14" t="n">
        <f aca="false">MONTH(D131)</f>
        <v>3</v>
      </c>
      <c r="F131" s="14" t="s">
        <v>49</v>
      </c>
      <c r="G131" s="14" t="s">
        <v>50</v>
      </c>
      <c r="H131" s="14" t="s">
        <v>51</v>
      </c>
      <c r="I131" s="16" t="n">
        <v>150.4</v>
      </c>
      <c r="J131" s="17" t="n">
        <v>4.884</v>
      </c>
      <c r="K131" s="18" t="n">
        <v>415.8</v>
      </c>
      <c r="L131" s="18" t="n">
        <v>734.77</v>
      </c>
      <c r="M131" s="18" t="n">
        <f aca="false">IF(J131="","",ROUND(MAX(I131*J131,K131),2))</f>
        <v>734.55</v>
      </c>
      <c r="N131" s="18" t="n">
        <f aca="false">IF(M131="","",ROUND(L131-M131,2))</f>
        <v>0.22</v>
      </c>
      <c r="O131" s="19" t="n">
        <f aca="false">IF(M131="","",N131/M131)</f>
        <v>0.0002995030971343</v>
      </c>
      <c r="P131" s="14" t="str">
        <f aca="false">IF(M131="","SEM TARIFA NO CONTRATO",IF(N131&gt;Resumo!$B$4,"ACIMA DA TABELA",IF(N131&lt;-Resumo!$B$4,"ABAIXO DA TABELA","OK")))</f>
        <v>OK</v>
      </c>
    </row>
    <row r="132" customFormat="false" ht="15" hidden="false" customHeight="false" outlineLevel="0" collapsed="false">
      <c r="A132" s="14" t="s">
        <v>319</v>
      </c>
      <c r="B132" s="14" t="s">
        <v>320</v>
      </c>
      <c r="C132" s="14" t="s">
        <v>24</v>
      </c>
      <c r="D132" s="15" t="n">
        <v>46093</v>
      </c>
      <c r="E132" s="14" t="n">
        <f aca="false">MONTH(D132)</f>
        <v>3</v>
      </c>
      <c r="F132" s="14" t="s">
        <v>44</v>
      </c>
      <c r="G132" s="14" t="s">
        <v>45</v>
      </c>
      <c r="H132" s="14" t="s">
        <v>46</v>
      </c>
      <c r="I132" s="16" t="n">
        <v>3827.2</v>
      </c>
      <c r="J132" s="17" t="n">
        <v>0.856</v>
      </c>
      <c r="K132" s="18" t="n">
        <v>109.2</v>
      </c>
      <c r="L132" s="18" t="n">
        <v>3276.2</v>
      </c>
      <c r="M132" s="18" t="n">
        <f aca="false">IF(J132="","",ROUND(MAX(I132*J132,K132),2))</f>
        <v>3276.08</v>
      </c>
      <c r="N132" s="18" t="n">
        <f aca="false">IF(M132="","",ROUND(L132-M132,2))</f>
        <v>0.12</v>
      </c>
      <c r="O132" s="19" t="n">
        <f aca="false">IF(M132="","",N132/M132)</f>
        <v>3.6629142145491E-005</v>
      </c>
      <c r="P132" s="14" t="str">
        <f aca="false">IF(M132="","SEM TARIFA NO CONTRATO",IF(N132&gt;Resumo!$B$4,"ACIMA DA TABELA",IF(N132&lt;-Resumo!$B$4,"ABAIXO DA TABELA","OK")))</f>
        <v>OK</v>
      </c>
    </row>
    <row r="133" customFormat="false" ht="15" hidden="false" customHeight="false" outlineLevel="0" collapsed="false">
      <c r="A133" s="14" t="s">
        <v>321</v>
      </c>
      <c r="B133" s="14" t="s">
        <v>322</v>
      </c>
      <c r="C133" s="14" t="s">
        <v>24</v>
      </c>
      <c r="D133" s="15" t="n">
        <v>46093</v>
      </c>
      <c r="E133" s="14" t="n">
        <f aca="false">MONTH(D133)</f>
        <v>3</v>
      </c>
      <c r="F133" s="14" t="s">
        <v>61</v>
      </c>
      <c r="G133" s="14" t="s">
        <v>50</v>
      </c>
      <c r="H133" s="14" t="s">
        <v>62</v>
      </c>
      <c r="I133" s="16" t="n">
        <v>874.8</v>
      </c>
      <c r="J133" s="17" t="n">
        <v>1</v>
      </c>
      <c r="K133" s="18" t="n">
        <v>120</v>
      </c>
      <c r="L133" s="18" t="n">
        <v>874.5</v>
      </c>
      <c r="M133" s="18" t="n">
        <f aca="false">IF(J133="","",ROUND(MAX(I133*J133,K133),2))</f>
        <v>874.8</v>
      </c>
      <c r="N133" s="18" t="n">
        <f aca="false">IF(M133="","",ROUND(L133-M133,2))</f>
        <v>-0.3</v>
      </c>
      <c r="O133" s="19" t="n">
        <f aca="false">IF(M133="","",N133/M133)</f>
        <v>-0.000342935528120713</v>
      </c>
      <c r="P133" s="14" t="str">
        <f aca="false">IF(M133="","SEM TARIFA NO CONTRATO",IF(N133&gt;Resumo!$B$4,"ACIMA DA TABELA",IF(N133&lt;-Resumo!$B$4,"ABAIXO DA TABELA","OK")))</f>
        <v>OK</v>
      </c>
    </row>
    <row r="134" customFormat="false" ht="15" hidden="false" customHeight="false" outlineLevel="0" collapsed="false">
      <c r="A134" s="14" t="s">
        <v>323</v>
      </c>
      <c r="B134" s="14" t="s">
        <v>324</v>
      </c>
      <c r="C134" s="14" t="s">
        <v>22</v>
      </c>
      <c r="D134" s="15" t="n">
        <v>46093</v>
      </c>
      <c r="E134" s="14" t="n">
        <f aca="false">MONTH(D134)</f>
        <v>3</v>
      </c>
      <c r="F134" s="14" t="s">
        <v>49</v>
      </c>
      <c r="G134" s="14" t="s">
        <v>50</v>
      </c>
      <c r="H134" s="14" t="s">
        <v>51</v>
      </c>
      <c r="I134" s="16" t="n">
        <v>469.8</v>
      </c>
      <c r="J134" s="17" t="n">
        <v>4.662</v>
      </c>
      <c r="K134" s="18" t="n">
        <v>396.9</v>
      </c>
      <c r="L134" s="18" t="n">
        <v>2190.56</v>
      </c>
      <c r="M134" s="18" t="n">
        <f aca="false">IF(J134="","",ROUND(MAX(I134*J134,K134),2))</f>
        <v>2190.21</v>
      </c>
      <c r="N134" s="18" t="n">
        <f aca="false">IF(M134="","",ROUND(L134-M134,2))</f>
        <v>0.35</v>
      </c>
      <c r="O134" s="19" t="n">
        <f aca="false">IF(M134="","",N134/M134)</f>
        <v>0.000159802028116025</v>
      </c>
      <c r="P134" s="14" t="str">
        <f aca="false">IF(M134="","SEM TARIFA NO CONTRATO",IF(N134&gt;Resumo!$B$4,"ACIMA DA TABELA",IF(N134&lt;-Resumo!$B$4,"ABAIXO DA TABELA","OK")))</f>
        <v>OK</v>
      </c>
    </row>
    <row r="135" customFormat="false" ht="15" hidden="false" customHeight="false" outlineLevel="0" collapsed="false">
      <c r="A135" s="14" t="s">
        <v>325</v>
      </c>
      <c r="B135" s="14" t="s">
        <v>326</v>
      </c>
      <c r="C135" s="14" t="s">
        <v>25</v>
      </c>
      <c r="D135" s="15" t="n">
        <v>46093</v>
      </c>
      <c r="E135" s="14" t="n">
        <f aca="false">MONTH(D135)</f>
        <v>3</v>
      </c>
      <c r="F135" s="14" t="s">
        <v>73</v>
      </c>
      <c r="G135" s="14" t="s">
        <v>50</v>
      </c>
      <c r="H135" s="14" t="s">
        <v>74</v>
      </c>
      <c r="I135" s="16" t="n">
        <v>186.8</v>
      </c>
      <c r="J135" s="17" t="n">
        <v>1.0868</v>
      </c>
      <c r="K135" s="18" t="n">
        <v>124.26</v>
      </c>
      <c r="L135" s="18" t="n">
        <v>203.31</v>
      </c>
      <c r="M135" s="18" t="n">
        <f aca="false">IF(J135="","",ROUND(MAX(I135*J135,K135),2))</f>
        <v>203.01</v>
      </c>
      <c r="N135" s="18" t="n">
        <f aca="false">IF(M135="","",ROUND(L135-M135,2))</f>
        <v>0.3</v>
      </c>
      <c r="O135" s="19" t="n">
        <f aca="false">IF(M135="","",N135/M135)</f>
        <v>0.00147775971627013</v>
      </c>
      <c r="P135" s="14" t="str">
        <f aca="false">IF(M135="","SEM TARIFA NO CONTRATO",IF(N135&gt;Resumo!$B$4,"ACIMA DA TABELA",IF(N135&lt;-Resumo!$B$4,"ABAIXO DA TABELA","OK")))</f>
        <v>OK</v>
      </c>
    </row>
    <row r="136" customFormat="false" ht="15" hidden="false" customHeight="false" outlineLevel="0" collapsed="false">
      <c r="A136" s="14" t="s">
        <v>327</v>
      </c>
      <c r="B136" s="14" t="s">
        <v>328</v>
      </c>
      <c r="C136" s="14" t="s">
        <v>21</v>
      </c>
      <c r="D136" s="15" t="n">
        <v>46094</v>
      </c>
      <c r="E136" s="14" t="n">
        <f aca="false">MONTH(D136)</f>
        <v>3</v>
      </c>
      <c r="F136" s="14" t="s">
        <v>118</v>
      </c>
      <c r="G136" s="14" t="s">
        <v>50</v>
      </c>
      <c r="H136" s="14" t="s">
        <v>119</v>
      </c>
      <c r="I136" s="16" t="n">
        <v>2087.3</v>
      </c>
      <c r="J136" s="17" t="n">
        <v>3.6696</v>
      </c>
      <c r="K136" s="18" t="n">
        <v>324.72</v>
      </c>
      <c r="L136" s="18" t="n">
        <v>7659.22</v>
      </c>
      <c r="M136" s="18" t="n">
        <f aca="false">IF(J136="","",ROUND(MAX(I136*J136,K136),2))</f>
        <v>7659.56</v>
      </c>
      <c r="N136" s="18" t="n">
        <f aca="false">IF(M136="","",ROUND(L136-M136,2))</f>
        <v>-0.34</v>
      </c>
      <c r="O136" s="19" t="n">
        <f aca="false">IF(M136="","",N136/M136)</f>
        <v>-4.43889727347263E-005</v>
      </c>
      <c r="P136" s="14" t="str">
        <f aca="false">IF(M136="","SEM TARIFA NO CONTRATO",IF(N136&gt;Resumo!$B$4,"ACIMA DA TABELA",IF(N136&lt;-Resumo!$B$4,"ABAIXO DA TABELA","OK")))</f>
        <v>OK</v>
      </c>
    </row>
    <row r="137" customFormat="false" ht="15" hidden="false" customHeight="false" outlineLevel="0" collapsed="false">
      <c r="A137" s="14" t="s">
        <v>329</v>
      </c>
      <c r="B137" s="14" t="s">
        <v>330</v>
      </c>
      <c r="C137" s="14" t="s">
        <v>25</v>
      </c>
      <c r="D137" s="15" t="n">
        <v>46094</v>
      </c>
      <c r="E137" s="14" t="n">
        <f aca="false">MONTH(D137)</f>
        <v>3</v>
      </c>
      <c r="F137" s="14" t="s">
        <v>88</v>
      </c>
      <c r="G137" s="14" t="s">
        <v>50</v>
      </c>
      <c r="H137" s="14" t="s">
        <v>89</v>
      </c>
      <c r="I137" s="16" t="n">
        <v>1475.7</v>
      </c>
      <c r="J137" s="17" t="n">
        <v>1.6036</v>
      </c>
      <c r="K137" s="18" t="n">
        <v>163.02</v>
      </c>
      <c r="L137" s="18" t="n">
        <v>2366.46</v>
      </c>
      <c r="M137" s="18" t="n">
        <f aca="false">IF(J137="","",ROUND(MAX(I137*J137,K137),2))</f>
        <v>2366.43</v>
      </c>
      <c r="N137" s="18" t="n">
        <f aca="false">IF(M137="","",ROUND(L137-M137,2))</f>
        <v>0.03</v>
      </c>
      <c r="O137" s="19" t="n">
        <f aca="false">IF(M137="","",N137/M137)</f>
        <v>1.26773240704352E-005</v>
      </c>
      <c r="P137" s="14" t="str">
        <f aca="false">IF(M137="","SEM TARIFA NO CONTRATO",IF(N137&gt;Resumo!$B$4,"ACIMA DA TABELA",IF(N137&lt;-Resumo!$B$4,"ABAIXO DA TABELA","OK")))</f>
        <v>OK</v>
      </c>
    </row>
    <row r="138" customFormat="false" ht="15" hidden="false" customHeight="false" outlineLevel="0" collapsed="false">
      <c r="A138" s="14" t="s">
        <v>331</v>
      </c>
      <c r="B138" s="14" t="s">
        <v>332</v>
      </c>
      <c r="C138" s="14" t="s">
        <v>25</v>
      </c>
      <c r="D138" s="15" t="n">
        <v>46094</v>
      </c>
      <c r="E138" s="14" t="n">
        <f aca="false">MONTH(D138)</f>
        <v>3</v>
      </c>
      <c r="F138" s="14" t="s">
        <v>104</v>
      </c>
      <c r="G138" s="14" t="s">
        <v>45</v>
      </c>
      <c r="H138" s="14" t="s">
        <v>68</v>
      </c>
      <c r="I138" s="16" t="n">
        <v>860.7</v>
      </c>
      <c r="J138" s="17" t="n">
        <v>1.254</v>
      </c>
      <c r="K138" s="18" t="n">
        <v>136.8</v>
      </c>
      <c r="L138" s="18" t="n">
        <v>1079.08</v>
      </c>
      <c r="M138" s="18" t="n">
        <f aca="false">IF(J138="","",ROUND(MAX(I138*J138,K138),2))</f>
        <v>1079.32</v>
      </c>
      <c r="N138" s="18" t="n">
        <f aca="false">IF(M138="","",ROUND(L138-M138,2))</f>
        <v>-0.24</v>
      </c>
      <c r="O138" s="19" t="n">
        <f aca="false">IF(M138="","",N138/M138)</f>
        <v>-0.000222362228069525</v>
      </c>
      <c r="P138" s="14" t="str">
        <f aca="false">IF(M138="","SEM TARIFA NO CONTRATO",IF(N138&gt;Resumo!$B$4,"ACIMA DA TABELA",IF(N138&lt;-Resumo!$B$4,"ABAIXO DA TABELA","OK")))</f>
        <v>OK</v>
      </c>
    </row>
    <row r="139" customFormat="false" ht="15" hidden="false" customHeight="false" outlineLevel="0" collapsed="false">
      <c r="A139" s="14" t="s">
        <v>333</v>
      </c>
      <c r="B139" s="14" t="s">
        <v>308</v>
      </c>
      <c r="C139" s="14" t="s">
        <v>24</v>
      </c>
      <c r="D139" s="15" t="n">
        <v>46095</v>
      </c>
      <c r="E139" s="14" t="n">
        <f aca="false">MONTH(D139)</f>
        <v>3</v>
      </c>
      <c r="F139" s="14" t="s">
        <v>56</v>
      </c>
      <c r="G139" s="14" t="s">
        <v>50</v>
      </c>
      <c r="H139" s="14" t="s">
        <v>45</v>
      </c>
      <c r="I139" s="16" t="n">
        <v>471.2</v>
      </c>
      <c r="J139" s="17" t="n">
        <v>0.856</v>
      </c>
      <c r="K139" s="18" t="n">
        <v>109.2</v>
      </c>
      <c r="L139" s="18" t="n">
        <v>403.02</v>
      </c>
      <c r="M139" s="18" t="n">
        <f aca="false">IF(J139="","",ROUND(MAX(I139*J139,K139),2))</f>
        <v>403.35</v>
      </c>
      <c r="N139" s="18" t="n">
        <f aca="false">IF(M139="","",ROUND(L139-M139,2))</f>
        <v>-0.33</v>
      </c>
      <c r="O139" s="19" t="n">
        <f aca="false">IF(M139="","",N139/M139)</f>
        <v>-0.000818148010412793</v>
      </c>
      <c r="P139" s="14" t="str">
        <f aca="false">IF(M139="","SEM TARIFA NO CONTRATO",IF(N139&gt;Resumo!$B$4,"ACIMA DA TABELA",IF(N139&lt;-Resumo!$B$4,"ABAIXO DA TABELA","OK")))</f>
        <v>OK</v>
      </c>
    </row>
    <row r="140" customFormat="false" ht="15" hidden="false" customHeight="false" outlineLevel="0" collapsed="false">
      <c r="A140" s="14" t="s">
        <v>334</v>
      </c>
      <c r="B140" s="14" t="s">
        <v>335</v>
      </c>
      <c r="C140" s="14" t="s">
        <v>24</v>
      </c>
      <c r="D140" s="15" t="n">
        <v>46096</v>
      </c>
      <c r="E140" s="14" t="n">
        <f aca="false">MONTH(D140)</f>
        <v>3</v>
      </c>
      <c r="F140" s="14" t="s">
        <v>44</v>
      </c>
      <c r="G140" s="14" t="s">
        <v>45</v>
      </c>
      <c r="H140" s="14" t="s">
        <v>46</v>
      </c>
      <c r="I140" s="16" t="n">
        <v>8000</v>
      </c>
      <c r="J140" s="17" t="n">
        <v>0.856</v>
      </c>
      <c r="K140" s="18" t="n">
        <v>109.2</v>
      </c>
      <c r="L140" s="18" t="n">
        <v>6848.05</v>
      </c>
      <c r="M140" s="18" t="n">
        <f aca="false">IF(J140="","",ROUND(MAX(I140*J140,K140),2))</f>
        <v>6848</v>
      </c>
      <c r="N140" s="18" t="n">
        <f aca="false">IF(M140="","",ROUND(L140-M140,2))</f>
        <v>0.05</v>
      </c>
      <c r="O140" s="19" t="n">
        <f aca="false">IF(M140="","",N140/M140)</f>
        <v>7.30140186915888E-006</v>
      </c>
      <c r="P140" s="14" t="str">
        <f aca="false">IF(M140="","SEM TARIFA NO CONTRATO",IF(N140&gt;Resumo!$B$4,"ACIMA DA TABELA",IF(N140&lt;-Resumo!$B$4,"ABAIXO DA TABELA","OK")))</f>
        <v>OK</v>
      </c>
    </row>
    <row r="141" customFormat="false" ht="15" hidden="false" customHeight="false" outlineLevel="0" collapsed="false">
      <c r="A141" s="14" t="s">
        <v>336</v>
      </c>
      <c r="B141" s="14" t="s">
        <v>337</v>
      </c>
      <c r="C141" s="14" t="s">
        <v>24</v>
      </c>
      <c r="D141" s="15" t="n">
        <v>46096</v>
      </c>
      <c r="E141" s="14" t="n">
        <f aca="false">MONTH(D141)</f>
        <v>3</v>
      </c>
      <c r="F141" s="14" t="s">
        <v>56</v>
      </c>
      <c r="G141" s="14" t="s">
        <v>50</v>
      </c>
      <c r="H141" s="14" t="s">
        <v>45</v>
      </c>
      <c r="I141" s="16" t="n">
        <v>873</v>
      </c>
      <c r="J141" s="17" t="n">
        <v>0.856</v>
      </c>
      <c r="K141" s="18" t="n">
        <v>109.2</v>
      </c>
      <c r="L141" s="18" t="n">
        <v>747.21</v>
      </c>
      <c r="M141" s="18" t="n">
        <f aca="false">IF(J141="","",ROUND(MAX(I141*J141,K141),2))</f>
        <v>747.29</v>
      </c>
      <c r="N141" s="18" t="n">
        <f aca="false">IF(M141="","",ROUND(L141-M141,2))</f>
        <v>-0.08</v>
      </c>
      <c r="O141" s="19" t="n">
        <f aca="false">IF(M141="","",N141/M141)</f>
        <v>-0.000107053486598242</v>
      </c>
      <c r="P141" s="14" t="str">
        <f aca="false">IF(M141="","SEM TARIFA NO CONTRATO",IF(N141&gt;Resumo!$B$4,"ACIMA DA TABELA",IF(N141&lt;-Resumo!$B$4,"ABAIXO DA TABELA","OK")))</f>
        <v>OK</v>
      </c>
    </row>
    <row r="142" customFormat="false" ht="15" hidden="false" customHeight="false" outlineLevel="0" collapsed="false">
      <c r="A142" s="14" t="s">
        <v>338</v>
      </c>
      <c r="B142" s="14" t="s">
        <v>339</v>
      </c>
      <c r="C142" s="14" t="s">
        <v>25</v>
      </c>
      <c r="D142" s="15" t="n">
        <v>46097</v>
      </c>
      <c r="E142" s="14" t="n">
        <f aca="false">MONTH(D142)</f>
        <v>3</v>
      </c>
      <c r="F142" s="14" t="s">
        <v>56</v>
      </c>
      <c r="G142" s="14" t="s">
        <v>50</v>
      </c>
      <c r="H142" s="14" t="s">
        <v>45</v>
      </c>
      <c r="I142" s="16" t="n">
        <v>49.4</v>
      </c>
      <c r="J142" s="17" t="n">
        <v>0.8132</v>
      </c>
      <c r="K142" s="18" t="n">
        <v>103.74</v>
      </c>
      <c r="L142" s="18" t="n">
        <v>103.75</v>
      </c>
      <c r="M142" s="18" t="n">
        <f aca="false">IF(J142="","",ROUND(MAX(I142*J142,K142),2))</f>
        <v>103.74</v>
      </c>
      <c r="N142" s="18" t="n">
        <f aca="false">IF(M142="","",ROUND(L142-M142,2))</f>
        <v>0.01</v>
      </c>
      <c r="O142" s="19" t="n">
        <f aca="false">IF(M142="","",N142/M142)</f>
        <v>9.63948332369385E-005</v>
      </c>
      <c r="P142" s="14" t="str">
        <f aca="false">IF(M142="","SEM TARIFA NO CONTRATO",IF(N142&gt;Resumo!$B$4,"ACIMA DA TABELA",IF(N142&lt;-Resumo!$B$4,"ABAIXO DA TABELA","OK")))</f>
        <v>OK</v>
      </c>
    </row>
    <row r="143" customFormat="false" ht="15" hidden="false" customHeight="false" outlineLevel="0" collapsed="false">
      <c r="A143" s="14" t="s">
        <v>340</v>
      </c>
      <c r="B143" s="14" t="s">
        <v>341</v>
      </c>
      <c r="C143" s="14" t="s">
        <v>21</v>
      </c>
      <c r="D143" s="15" t="n">
        <v>46097</v>
      </c>
      <c r="E143" s="14" t="n">
        <f aca="false">MONTH(D143)</f>
        <v>3</v>
      </c>
      <c r="F143" s="14" t="s">
        <v>67</v>
      </c>
      <c r="G143" s="14" t="s">
        <v>50</v>
      </c>
      <c r="H143" s="14" t="s">
        <v>68</v>
      </c>
      <c r="I143" s="16" t="n">
        <v>827</v>
      </c>
      <c r="J143" s="17" t="n">
        <v>2.156</v>
      </c>
      <c r="K143" s="18" t="n">
        <v>211.2</v>
      </c>
      <c r="L143" s="18" t="n">
        <v>1956.53</v>
      </c>
      <c r="M143" s="18" t="n">
        <f aca="false">IF(J143="","",ROUND(MAX(I143*J143,K143),2))</f>
        <v>1783.01</v>
      </c>
      <c r="N143" s="18" t="n">
        <f aca="false">IF(M143="","",ROUND(L143-M143,2))</f>
        <v>173.52</v>
      </c>
      <c r="O143" s="19" t="n">
        <f aca="false">IF(M143="","",N143/M143)</f>
        <v>0.0973185792564259</v>
      </c>
      <c r="P143" s="14" t="str">
        <f aca="false">IF(M143="","SEM TARIFA NO CONTRATO",IF(N143&gt;Resumo!$B$4,"ACIMA DA TABELA",IF(N143&lt;-Resumo!$B$4,"ABAIXO DA TABELA","OK")))</f>
        <v>ACIMA DA TABELA</v>
      </c>
    </row>
    <row r="144" customFormat="false" ht="15" hidden="false" customHeight="false" outlineLevel="0" collapsed="false">
      <c r="A144" s="14" t="s">
        <v>342</v>
      </c>
      <c r="B144" s="14" t="s">
        <v>343</v>
      </c>
      <c r="C144" s="14" t="s">
        <v>25</v>
      </c>
      <c r="D144" s="15" t="n">
        <v>46097</v>
      </c>
      <c r="E144" s="14" t="n">
        <f aca="false">MONTH(D144)</f>
        <v>3</v>
      </c>
      <c r="F144" s="14" t="s">
        <v>104</v>
      </c>
      <c r="G144" s="14" t="s">
        <v>45</v>
      </c>
      <c r="H144" s="14" t="s">
        <v>68</v>
      </c>
      <c r="I144" s="16" t="n">
        <v>312.9</v>
      </c>
      <c r="J144" s="17" t="n">
        <v>1.254</v>
      </c>
      <c r="K144" s="18" t="n">
        <v>136.8</v>
      </c>
      <c r="L144" s="18" t="n">
        <v>392.55</v>
      </c>
      <c r="M144" s="18" t="n">
        <f aca="false">IF(J144="","",ROUND(MAX(I144*J144,K144),2))</f>
        <v>392.38</v>
      </c>
      <c r="N144" s="18" t="n">
        <f aca="false">IF(M144="","",ROUND(L144-M144,2))</f>
        <v>0.17</v>
      </c>
      <c r="O144" s="19" t="n">
        <f aca="false">IF(M144="","",N144/M144)</f>
        <v>0.00043325347877058</v>
      </c>
      <c r="P144" s="14" t="str">
        <f aca="false">IF(M144="","SEM TARIFA NO CONTRATO",IF(N144&gt;Resumo!$B$4,"ACIMA DA TABELA",IF(N144&lt;-Resumo!$B$4,"ABAIXO DA TABELA","OK")))</f>
        <v>OK</v>
      </c>
    </row>
    <row r="145" customFormat="false" ht="15" hidden="false" customHeight="false" outlineLevel="0" collapsed="false">
      <c r="A145" s="14" t="s">
        <v>344</v>
      </c>
      <c r="B145" s="14" t="s">
        <v>345</v>
      </c>
      <c r="C145" s="14" t="s">
        <v>24</v>
      </c>
      <c r="D145" s="15" t="n">
        <v>46097</v>
      </c>
      <c r="E145" s="14" t="n">
        <f aca="false">MONTH(D145)</f>
        <v>3</v>
      </c>
      <c r="F145" s="14" t="s">
        <v>79</v>
      </c>
      <c r="G145" s="14" t="s">
        <v>50</v>
      </c>
      <c r="H145" s="14" t="s">
        <v>46</v>
      </c>
      <c r="I145" s="16" t="n">
        <v>141.3</v>
      </c>
      <c r="J145" s="17" t="n">
        <v>0.36</v>
      </c>
      <c r="K145" s="18" t="n">
        <v>72</v>
      </c>
      <c r="L145" s="18" t="n">
        <v>71.75</v>
      </c>
      <c r="M145" s="18" t="n">
        <f aca="false">IF(J145="","",ROUND(MAX(I145*J145,K145),2))</f>
        <v>72</v>
      </c>
      <c r="N145" s="18" t="n">
        <f aca="false">IF(M145="","",ROUND(L145-M145,2))</f>
        <v>-0.25</v>
      </c>
      <c r="O145" s="19" t="n">
        <f aca="false">IF(M145="","",N145/M145)</f>
        <v>-0.00347222222222222</v>
      </c>
      <c r="P145" s="14" t="str">
        <f aca="false">IF(M145="","SEM TARIFA NO CONTRATO",IF(N145&gt;Resumo!$B$4,"ACIMA DA TABELA",IF(N145&lt;-Resumo!$B$4,"ABAIXO DA TABELA","OK")))</f>
        <v>OK</v>
      </c>
    </row>
    <row r="146" customFormat="false" ht="15" hidden="false" customHeight="false" outlineLevel="0" collapsed="false">
      <c r="A146" s="14" t="s">
        <v>346</v>
      </c>
      <c r="B146" s="14" t="s">
        <v>347</v>
      </c>
      <c r="C146" s="14" t="s">
        <v>21</v>
      </c>
      <c r="D146" s="15" t="n">
        <v>46097</v>
      </c>
      <c r="E146" s="14" t="n">
        <f aca="false">MONTH(D146)</f>
        <v>3</v>
      </c>
      <c r="F146" s="14" t="s">
        <v>118</v>
      </c>
      <c r="G146" s="14" t="s">
        <v>50</v>
      </c>
      <c r="H146" s="14" t="s">
        <v>119</v>
      </c>
      <c r="I146" s="16" t="n">
        <v>146.5</v>
      </c>
      <c r="J146" s="17" t="n">
        <v>3.6696</v>
      </c>
      <c r="K146" s="18" t="n">
        <v>324.72</v>
      </c>
      <c r="L146" s="18" t="n">
        <v>537.38</v>
      </c>
      <c r="M146" s="18" t="n">
        <f aca="false">IF(J146="","",ROUND(MAX(I146*J146,K146),2))</f>
        <v>537.6</v>
      </c>
      <c r="N146" s="18" t="n">
        <f aca="false">IF(M146="","",ROUND(L146-M146,2))</f>
        <v>-0.22</v>
      </c>
      <c r="O146" s="19" t="n">
        <f aca="false">IF(M146="","",N146/M146)</f>
        <v>-0.000409226190476191</v>
      </c>
      <c r="P146" s="14" t="str">
        <f aca="false">IF(M146="","SEM TARIFA NO CONTRATO",IF(N146&gt;Resumo!$B$4,"ACIMA DA TABELA",IF(N146&lt;-Resumo!$B$4,"ABAIXO DA TABELA","OK")))</f>
        <v>OK</v>
      </c>
    </row>
    <row r="147" customFormat="false" ht="15" hidden="false" customHeight="false" outlineLevel="0" collapsed="false">
      <c r="A147" s="14" t="s">
        <v>348</v>
      </c>
      <c r="B147" s="14" t="s">
        <v>349</v>
      </c>
      <c r="C147" s="14" t="s">
        <v>23</v>
      </c>
      <c r="D147" s="15" t="n">
        <v>46097</v>
      </c>
      <c r="E147" s="14" t="n">
        <f aca="false">MONTH(D147)</f>
        <v>3</v>
      </c>
      <c r="F147" s="14" t="s">
        <v>56</v>
      </c>
      <c r="G147" s="14" t="s">
        <v>50</v>
      </c>
      <c r="H147" s="14" t="s">
        <v>45</v>
      </c>
      <c r="I147" s="16" t="n">
        <v>88.1</v>
      </c>
      <c r="J147" s="17" t="n">
        <v>0.7875</v>
      </c>
      <c r="K147" s="18" t="n">
        <v>100.46</v>
      </c>
      <c r="L147" s="18" t="n">
        <v>100.4</v>
      </c>
      <c r="M147" s="18" t="n">
        <f aca="false">IF(J147="","",ROUND(MAX(I147*J147,K147),2))</f>
        <v>100.46</v>
      </c>
      <c r="N147" s="18" t="n">
        <f aca="false">IF(M147="","",ROUND(L147-M147,2))</f>
        <v>-0.06</v>
      </c>
      <c r="O147" s="19" t="n">
        <f aca="false">IF(M147="","",N147/M147)</f>
        <v>-0.000597252637865817</v>
      </c>
      <c r="P147" s="14" t="str">
        <f aca="false">IF(M147="","SEM TARIFA NO CONTRATO",IF(N147&gt;Resumo!$B$4,"ACIMA DA TABELA",IF(N147&lt;-Resumo!$B$4,"ABAIXO DA TABELA","OK")))</f>
        <v>OK</v>
      </c>
    </row>
    <row r="148" customFormat="false" ht="15" hidden="false" customHeight="false" outlineLevel="0" collapsed="false">
      <c r="A148" s="14" t="s">
        <v>350</v>
      </c>
      <c r="B148" s="14" t="s">
        <v>351</v>
      </c>
      <c r="C148" s="14" t="s">
        <v>21</v>
      </c>
      <c r="D148" s="15" t="n">
        <v>46097</v>
      </c>
      <c r="E148" s="14" t="n">
        <f aca="false">MONTH(D148)</f>
        <v>3</v>
      </c>
      <c r="F148" s="14" t="s">
        <v>61</v>
      </c>
      <c r="G148" s="14" t="s">
        <v>50</v>
      </c>
      <c r="H148" s="14" t="s">
        <v>62</v>
      </c>
      <c r="I148" s="16" t="n">
        <v>2541.6</v>
      </c>
      <c r="J148" s="17" t="n">
        <v>1.1</v>
      </c>
      <c r="K148" s="18" t="n">
        <v>132</v>
      </c>
      <c r="L148" s="18" t="n">
        <v>3319.3</v>
      </c>
      <c r="M148" s="18" t="n">
        <f aca="false">IF(J148="","",ROUND(MAX(I148*J148,K148),2))</f>
        <v>2795.76</v>
      </c>
      <c r="N148" s="18" t="n">
        <f aca="false">IF(M148="","",ROUND(L148-M148,2))</f>
        <v>523.54</v>
      </c>
      <c r="O148" s="19" t="n">
        <f aca="false">IF(M148="","",N148/M148)</f>
        <v>0.187262139811715</v>
      </c>
      <c r="P148" s="14" t="str">
        <f aca="false">IF(M148="","SEM TARIFA NO CONTRATO",IF(N148&gt;Resumo!$B$4,"ACIMA DA TABELA",IF(N148&lt;-Resumo!$B$4,"ABAIXO DA TABELA","OK")))</f>
        <v>ACIMA DA TABELA</v>
      </c>
    </row>
    <row r="149" customFormat="false" ht="15" hidden="false" customHeight="false" outlineLevel="0" collapsed="false">
      <c r="A149" s="14" t="s">
        <v>352</v>
      </c>
      <c r="B149" s="14" t="s">
        <v>353</v>
      </c>
      <c r="C149" s="14" t="s">
        <v>24</v>
      </c>
      <c r="D149" s="15" t="n">
        <v>46098</v>
      </c>
      <c r="E149" s="14" t="n">
        <f aca="false">MONTH(D149)</f>
        <v>3</v>
      </c>
      <c r="F149" s="14" t="s">
        <v>73</v>
      </c>
      <c r="G149" s="14" t="s">
        <v>50</v>
      </c>
      <c r="H149" s="14" t="s">
        <v>74</v>
      </c>
      <c r="I149" s="16" t="n">
        <v>440</v>
      </c>
      <c r="J149" s="17" t="n">
        <v>1.144</v>
      </c>
      <c r="K149" s="18" t="n">
        <v>130.8</v>
      </c>
      <c r="L149" s="18" t="n">
        <v>503.25</v>
      </c>
      <c r="M149" s="18" t="n">
        <f aca="false">IF(J149="","",ROUND(MAX(I149*J149,K149),2))</f>
        <v>503.36</v>
      </c>
      <c r="N149" s="18" t="n">
        <f aca="false">IF(M149="","",ROUND(L149-M149,2))</f>
        <v>-0.11</v>
      </c>
      <c r="O149" s="19" t="n">
        <f aca="false">IF(M149="","",N149/M149)</f>
        <v>-0.000218531468531469</v>
      </c>
      <c r="P149" s="14" t="str">
        <f aca="false">IF(M149="","SEM TARIFA NO CONTRATO",IF(N149&gt;Resumo!$B$4,"ACIMA DA TABELA",IF(N149&lt;-Resumo!$B$4,"ABAIXO DA TABELA","OK")))</f>
        <v>OK</v>
      </c>
    </row>
    <row r="150" customFormat="false" ht="15" hidden="false" customHeight="false" outlineLevel="0" collapsed="false">
      <c r="A150" s="14" t="s">
        <v>354</v>
      </c>
      <c r="B150" s="14" t="s">
        <v>355</v>
      </c>
      <c r="C150" s="14" t="s">
        <v>25</v>
      </c>
      <c r="D150" s="15" t="n">
        <v>46098</v>
      </c>
      <c r="E150" s="14" t="n">
        <f aca="false">MONTH(D150)</f>
        <v>3</v>
      </c>
      <c r="F150" s="14" t="s">
        <v>104</v>
      </c>
      <c r="G150" s="14" t="s">
        <v>45</v>
      </c>
      <c r="H150" s="14" t="s">
        <v>68</v>
      </c>
      <c r="I150" s="16" t="n">
        <v>305.8</v>
      </c>
      <c r="J150" s="17" t="n">
        <v>1.254</v>
      </c>
      <c r="K150" s="18" t="n">
        <v>136.8</v>
      </c>
      <c r="L150" s="18" t="n">
        <v>383.23</v>
      </c>
      <c r="M150" s="18" t="n">
        <f aca="false">IF(J150="","",ROUND(MAX(I150*J150,K150),2))</f>
        <v>383.47</v>
      </c>
      <c r="N150" s="18" t="n">
        <f aca="false">IF(M150="","",ROUND(L150-M150,2))</f>
        <v>-0.24</v>
      </c>
      <c r="O150" s="19" t="n">
        <f aca="false">IF(M150="","",N150/M150)</f>
        <v>-0.000625863822463296</v>
      </c>
      <c r="P150" s="14" t="str">
        <f aca="false">IF(M150="","SEM TARIFA NO CONTRATO",IF(N150&gt;Resumo!$B$4,"ACIMA DA TABELA",IF(N150&lt;-Resumo!$B$4,"ABAIXO DA TABELA","OK")))</f>
        <v>OK</v>
      </c>
    </row>
    <row r="151" customFormat="false" ht="15" hidden="false" customHeight="false" outlineLevel="0" collapsed="false">
      <c r="A151" s="14" t="s">
        <v>356</v>
      </c>
      <c r="B151" s="14" t="s">
        <v>357</v>
      </c>
      <c r="C151" s="14" t="s">
        <v>23</v>
      </c>
      <c r="D151" s="15" t="n">
        <v>46098</v>
      </c>
      <c r="E151" s="14" t="n">
        <f aca="false">MONTH(D151)</f>
        <v>3</v>
      </c>
      <c r="F151" s="14" t="s">
        <v>88</v>
      </c>
      <c r="G151" s="14" t="s">
        <v>50</v>
      </c>
      <c r="H151" s="14" t="s">
        <v>89</v>
      </c>
      <c r="I151" s="16" t="n">
        <v>181.1</v>
      </c>
      <c r="J151" s="17" t="n">
        <v>1.553</v>
      </c>
      <c r="K151" s="18" t="n">
        <v>157.87</v>
      </c>
      <c r="L151" s="18" t="n">
        <v>281.64</v>
      </c>
      <c r="M151" s="18" t="n">
        <f aca="false">IF(J151="","",ROUND(MAX(I151*J151,K151),2))</f>
        <v>281.25</v>
      </c>
      <c r="N151" s="18" t="n">
        <f aca="false">IF(M151="","",ROUND(L151-M151,2))</f>
        <v>0.39</v>
      </c>
      <c r="O151" s="19" t="n">
        <f aca="false">IF(M151="","",N151/M151)</f>
        <v>0.00138666666666667</v>
      </c>
      <c r="P151" s="14" t="str">
        <f aca="false">IF(M151="","SEM TARIFA NO CONTRATO",IF(N151&gt;Resumo!$B$4,"ACIMA DA TABELA",IF(N151&lt;-Resumo!$B$4,"ABAIXO DA TABELA","OK")))</f>
        <v>OK</v>
      </c>
    </row>
    <row r="152" customFormat="false" ht="15" hidden="false" customHeight="false" outlineLevel="0" collapsed="false">
      <c r="A152" s="14" t="s">
        <v>358</v>
      </c>
      <c r="B152" s="14" t="s">
        <v>359</v>
      </c>
      <c r="C152" s="14" t="s">
        <v>25</v>
      </c>
      <c r="D152" s="15" t="n">
        <v>46099</v>
      </c>
      <c r="E152" s="14" t="n">
        <f aca="false">MONTH(D152)</f>
        <v>3</v>
      </c>
      <c r="F152" s="14" t="s">
        <v>56</v>
      </c>
      <c r="G152" s="14" t="s">
        <v>50</v>
      </c>
      <c r="H152" s="14" t="s">
        <v>45</v>
      </c>
      <c r="I152" s="16" t="n">
        <v>1286.6</v>
      </c>
      <c r="J152" s="17" t="n">
        <v>0.8132</v>
      </c>
      <c r="K152" s="18" t="n">
        <v>103.74</v>
      </c>
      <c r="L152" s="18" t="n">
        <v>1046.04</v>
      </c>
      <c r="M152" s="18" t="n">
        <f aca="false">IF(J152="","",ROUND(MAX(I152*J152,K152),2))</f>
        <v>1046.26</v>
      </c>
      <c r="N152" s="18" t="n">
        <f aca="false">IF(M152="","",ROUND(L152-M152,2))</f>
        <v>-0.22</v>
      </c>
      <c r="O152" s="19" t="n">
        <f aca="false">IF(M152="","",N152/M152)</f>
        <v>-0.000210272781144266</v>
      </c>
      <c r="P152" s="14" t="str">
        <f aca="false">IF(M152="","SEM TARIFA NO CONTRATO",IF(N152&gt;Resumo!$B$4,"ACIMA DA TABELA",IF(N152&lt;-Resumo!$B$4,"ABAIXO DA TABELA","OK")))</f>
        <v>OK</v>
      </c>
    </row>
    <row r="153" customFormat="false" ht="15" hidden="false" customHeight="false" outlineLevel="0" collapsed="false">
      <c r="A153" s="14" t="s">
        <v>360</v>
      </c>
      <c r="B153" s="14" t="s">
        <v>361</v>
      </c>
      <c r="C153" s="14" t="s">
        <v>25</v>
      </c>
      <c r="D153" s="15" t="n">
        <v>46099</v>
      </c>
      <c r="E153" s="14" t="n">
        <f aca="false">MONTH(D153)</f>
        <v>3</v>
      </c>
      <c r="F153" s="14" t="s">
        <v>56</v>
      </c>
      <c r="G153" s="14" t="s">
        <v>50</v>
      </c>
      <c r="H153" s="14" t="s">
        <v>45</v>
      </c>
      <c r="I153" s="16" t="n">
        <v>131.9</v>
      </c>
      <c r="J153" s="17" t="n">
        <v>0.8132</v>
      </c>
      <c r="K153" s="18" t="n">
        <v>103.74</v>
      </c>
      <c r="L153" s="18" t="n">
        <v>107.47</v>
      </c>
      <c r="M153" s="18" t="n">
        <f aca="false">IF(J153="","",ROUND(MAX(I153*J153,K153),2))</f>
        <v>107.26</v>
      </c>
      <c r="N153" s="18" t="n">
        <f aca="false">IF(M153="","",ROUND(L153-M153,2))</f>
        <v>0.21</v>
      </c>
      <c r="O153" s="19" t="n">
        <f aca="false">IF(M153="","",N153/M153)</f>
        <v>0.00195785940704829</v>
      </c>
      <c r="P153" s="14" t="str">
        <f aca="false">IF(M153="","SEM TARIFA NO CONTRATO",IF(N153&gt;Resumo!$B$4,"ACIMA DA TABELA",IF(N153&lt;-Resumo!$B$4,"ABAIXO DA TABELA","OK")))</f>
        <v>OK</v>
      </c>
    </row>
    <row r="154" customFormat="false" ht="15" hidden="false" customHeight="false" outlineLevel="0" collapsed="false">
      <c r="A154" s="14" t="s">
        <v>362</v>
      </c>
      <c r="B154" s="14" t="s">
        <v>363</v>
      </c>
      <c r="C154" s="14" t="s">
        <v>24</v>
      </c>
      <c r="D154" s="15" t="n">
        <v>46099</v>
      </c>
      <c r="E154" s="14" t="n">
        <f aca="false">MONTH(D154)</f>
        <v>3</v>
      </c>
      <c r="F154" s="14" t="s">
        <v>44</v>
      </c>
      <c r="G154" s="14" t="s">
        <v>45</v>
      </c>
      <c r="H154" s="14" t="s">
        <v>46</v>
      </c>
      <c r="I154" s="16" t="n">
        <v>472.4</v>
      </c>
      <c r="J154" s="17" t="n">
        <v>0.856</v>
      </c>
      <c r="K154" s="18" t="n">
        <v>109.2</v>
      </c>
      <c r="L154" s="18" t="n">
        <v>404.31</v>
      </c>
      <c r="M154" s="18" t="n">
        <f aca="false">IF(J154="","",ROUND(MAX(I154*J154,K154),2))</f>
        <v>404.37</v>
      </c>
      <c r="N154" s="18" t="n">
        <f aca="false">IF(M154="","",ROUND(L154-M154,2))</f>
        <v>-0.06</v>
      </c>
      <c r="O154" s="19" t="n">
        <f aca="false">IF(M154="","",N154/M154)</f>
        <v>-0.000148378959863491</v>
      </c>
      <c r="P154" s="14" t="str">
        <f aca="false">IF(M154="","SEM TARIFA NO CONTRATO",IF(N154&gt;Resumo!$B$4,"ACIMA DA TABELA",IF(N154&lt;-Resumo!$B$4,"ABAIXO DA TABELA","OK")))</f>
        <v>OK</v>
      </c>
    </row>
    <row r="155" customFormat="false" ht="15" hidden="false" customHeight="false" outlineLevel="0" collapsed="false">
      <c r="A155" s="14" t="s">
        <v>364</v>
      </c>
      <c r="B155" s="14" t="s">
        <v>365</v>
      </c>
      <c r="C155" s="14" t="s">
        <v>24</v>
      </c>
      <c r="D155" s="15" t="n">
        <v>46100</v>
      </c>
      <c r="E155" s="14" t="n">
        <f aca="false">MONTH(D155)</f>
        <v>3</v>
      </c>
      <c r="F155" s="14" t="s">
        <v>79</v>
      </c>
      <c r="G155" s="14" t="s">
        <v>50</v>
      </c>
      <c r="H155" s="14" t="s">
        <v>46</v>
      </c>
      <c r="I155" s="16" t="n">
        <v>1589.5</v>
      </c>
      <c r="J155" s="17" t="n">
        <v>0.36</v>
      </c>
      <c r="K155" s="18" t="n">
        <v>72</v>
      </c>
      <c r="L155" s="18" t="n">
        <v>571.89</v>
      </c>
      <c r="M155" s="18" t="n">
        <f aca="false">IF(J155="","",ROUND(MAX(I155*J155,K155),2))</f>
        <v>572.22</v>
      </c>
      <c r="N155" s="18" t="n">
        <f aca="false">IF(M155="","",ROUND(L155-M155,2))</f>
        <v>-0.33</v>
      </c>
      <c r="O155" s="19" t="n">
        <f aca="false">IF(M155="","",N155/M155)</f>
        <v>-0.000576701268742791</v>
      </c>
      <c r="P155" s="14" t="str">
        <f aca="false">IF(M155="","SEM TARIFA NO CONTRATO",IF(N155&gt;Resumo!$B$4,"ACIMA DA TABELA",IF(N155&lt;-Resumo!$B$4,"ABAIXO DA TABELA","OK")))</f>
        <v>OK</v>
      </c>
    </row>
    <row r="156" customFormat="false" ht="15" hidden="false" customHeight="false" outlineLevel="0" collapsed="false">
      <c r="A156" s="14" t="s">
        <v>366</v>
      </c>
      <c r="B156" s="14" t="s">
        <v>367</v>
      </c>
      <c r="C156" s="14" t="s">
        <v>25</v>
      </c>
      <c r="D156" s="15" t="n">
        <v>46100</v>
      </c>
      <c r="E156" s="14" t="n">
        <f aca="false">MONTH(D156)</f>
        <v>3</v>
      </c>
      <c r="F156" s="14" t="s">
        <v>104</v>
      </c>
      <c r="G156" s="14" t="s">
        <v>45</v>
      </c>
      <c r="H156" s="14" t="s">
        <v>68</v>
      </c>
      <c r="I156" s="16" t="n">
        <v>244.7</v>
      </c>
      <c r="J156" s="17" t="n">
        <v>1.254</v>
      </c>
      <c r="K156" s="18" t="n">
        <v>136.8</v>
      </c>
      <c r="L156" s="18" t="n">
        <v>306.78</v>
      </c>
      <c r="M156" s="18" t="n">
        <f aca="false">IF(J156="","",ROUND(MAX(I156*J156,K156),2))</f>
        <v>306.85</v>
      </c>
      <c r="N156" s="18" t="n">
        <f aca="false">IF(M156="","",ROUND(L156-M156,2))</f>
        <v>-0.07</v>
      </c>
      <c r="O156" s="19" t="n">
        <f aca="false">IF(M156="","",N156/M156)</f>
        <v>-0.000228124490793547</v>
      </c>
      <c r="P156" s="14" t="str">
        <f aca="false">IF(M156="","SEM TARIFA NO CONTRATO",IF(N156&gt;Resumo!$B$4,"ACIMA DA TABELA",IF(N156&lt;-Resumo!$B$4,"ABAIXO DA TABELA","OK")))</f>
        <v>OK</v>
      </c>
    </row>
    <row r="157" customFormat="false" ht="15" hidden="false" customHeight="false" outlineLevel="0" collapsed="false">
      <c r="A157" s="14" t="s">
        <v>368</v>
      </c>
      <c r="B157" s="14" t="s">
        <v>369</v>
      </c>
      <c r="C157" s="14" t="s">
        <v>24</v>
      </c>
      <c r="D157" s="15" t="n">
        <v>46101</v>
      </c>
      <c r="E157" s="14" t="n">
        <f aca="false">MONTH(D157)</f>
        <v>3</v>
      </c>
      <c r="F157" s="14" t="s">
        <v>56</v>
      </c>
      <c r="G157" s="14" t="s">
        <v>50</v>
      </c>
      <c r="H157" s="14" t="s">
        <v>45</v>
      </c>
      <c r="I157" s="16" t="n">
        <v>692.7</v>
      </c>
      <c r="J157" s="17" t="n">
        <v>0.856</v>
      </c>
      <c r="K157" s="18" t="n">
        <v>109.2</v>
      </c>
      <c r="L157" s="18" t="n">
        <v>592.88</v>
      </c>
      <c r="M157" s="18" t="n">
        <f aca="false">IF(J157="","",ROUND(MAX(I157*J157,K157),2))</f>
        <v>592.95</v>
      </c>
      <c r="N157" s="18" t="n">
        <f aca="false">IF(M157="","",ROUND(L157-M157,2))</f>
        <v>-0.07</v>
      </c>
      <c r="O157" s="19" t="n">
        <f aca="false">IF(M157="","",N157/M157)</f>
        <v>-0.000118053798802597</v>
      </c>
      <c r="P157" s="14" t="str">
        <f aca="false">IF(M157="","SEM TARIFA NO CONTRATO",IF(N157&gt;Resumo!$B$4,"ACIMA DA TABELA",IF(N157&lt;-Resumo!$B$4,"ABAIXO DA TABELA","OK")))</f>
        <v>OK</v>
      </c>
    </row>
    <row r="158" customFormat="false" ht="15" hidden="false" customHeight="false" outlineLevel="0" collapsed="false">
      <c r="A158" s="14" t="s">
        <v>370</v>
      </c>
      <c r="B158" s="14" t="s">
        <v>371</v>
      </c>
      <c r="C158" s="14" t="s">
        <v>23</v>
      </c>
      <c r="D158" s="15" t="n">
        <v>46101</v>
      </c>
      <c r="E158" s="14" t="n">
        <f aca="false">MONTH(D158)</f>
        <v>3</v>
      </c>
      <c r="F158" s="14" t="s">
        <v>49</v>
      </c>
      <c r="G158" s="14" t="s">
        <v>50</v>
      </c>
      <c r="H158" s="14" t="s">
        <v>51</v>
      </c>
      <c r="I158" s="16" t="n">
        <v>338.9</v>
      </c>
      <c r="J158" s="17" t="n">
        <v>4.0848</v>
      </c>
      <c r="K158" s="18" t="n">
        <v>347.76</v>
      </c>
      <c r="L158" s="18" t="n">
        <v>1384.71</v>
      </c>
      <c r="M158" s="18" t="n">
        <f aca="false">IF(J158="","",ROUND(MAX(I158*J158,K158),2))</f>
        <v>1384.34</v>
      </c>
      <c r="N158" s="18" t="n">
        <f aca="false">IF(M158="","",ROUND(L158-M158,2))</f>
        <v>0.37</v>
      </c>
      <c r="O158" s="19" t="n">
        <f aca="false">IF(M158="","",N158/M158)</f>
        <v>0.000267275380325643</v>
      </c>
      <c r="P158" s="14" t="str">
        <f aca="false">IF(M158="","SEM TARIFA NO CONTRATO",IF(N158&gt;Resumo!$B$4,"ACIMA DA TABELA",IF(N158&lt;-Resumo!$B$4,"ABAIXO DA TABELA","OK")))</f>
        <v>OK</v>
      </c>
    </row>
    <row r="159" customFormat="false" ht="15" hidden="false" customHeight="false" outlineLevel="0" collapsed="false">
      <c r="A159" s="14" t="s">
        <v>372</v>
      </c>
      <c r="B159" s="14" t="s">
        <v>373</v>
      </c>
      <c r="C159" s="14" t="s">
        <v>25</v>
      </c>
      <c r="D159" s="15" t="n">
        <v>46102</v>
      </c>
      <c r="E159" s="14" t="n">
        <f aca="false">MONTH(D159)</f>
        <v>3</v>
      </c>
      <c r="F159" s="14" t="s">
        <v>73</v>
      </c>
      <c r="G159" s="14" t="s">
        <v>50</v>
      </c>
      <c r="H159" s="14" t="s">
        <v>74</v>
      </c>
      <c r="I159" s="16" t="n">
        <v>76.8</v>
      </c>
      <c r="J159" s="17" t="n">
        <v>1.0868</v>
      </c>
      <c r="K159" s="18" t="n">
        <v>124.26</v>
      </c>
      <c r="L159" s="18" t="n">
        <v>123.94</v>
      </c>
      <c r="M159" s="18" t="n">
        <f aca="false">IF(J159="","",ROUND(MAX(I159*J159,K159),2))</f>
        <v>124.26</v>
      </c>
      <c r="N159" s="18" t="n">
        <f aca="false">IF(M159="","",ROUND(L159-M159,2))</f>
        <v>-0.32</v>
      </c>
      <c r="O159" s="19" t="n">
        <f aca="false">IF(M159="","",N159/M159)</f>
        <v>-0.00257524545308225</v>
      </c>
      <c r="P159" s="14" t="str">
        <f aca="false">IF(M159="","SEM TARIFA NO CONTRATO",IF(N159&gt;Resumo!$B$4,"ACIMA DA TABELA",IF(N159&lt;-Resumo!$B$4,"ABAIXO DA TABELA","OK")))</f>
        <v>OK</v>
      </c>
    </row>
    <row r="160" customFormat="false" ht="15" hidden="false" customHeight="false" outlineLevel="0" collapsed="false">
      <c r="A160" s="14" t="s">
        <v>374</v>
      </c>
      <c r="B160" s="14" t="s">
        <v>375</v>
      </c>
      <c r="C160" s="14" t="s">
        <v>23</v>
      </c>
      <c r="D160" s="15" t="n">
        <v>46102</v>
      </c>
      <c r="E160" s="14" t="n">
        <f aca="false">MONTH(D160)</f>
        <v>3</v>
      </c>
      <c r="F160" s="14" t="s">
        <v>44</v>
      </c>
      <c r="G160" s="14" t="s">
        <v>45</v>
      </c>
      <c r="H160" s="14" t="s">
        <v>46</v>
      </c>
      <c r="I160" s="16" t="n">
        <v>1165.9</v>
      </c>
      <c r="J160" s="17" t="n">
        <v>0.7875</v>
      </c>
      <c r="K160" s="18" t="n">
        <v>100.46</v>
      </c>
      <c r="L160" s="18" t="n">
        <v>917.88</v>
      </c>
      <c r="M160" s="18" t="n">
        <f aca="false">IF(J160="","",ROUND(MAX(I160*J160,K160),2))</f>
        <v>918.15</v>
      </c>
      <c r="N160" s="18" t="n">
        <f aca="false">IF(M160="","",ROUND(L160-M160,2))</f>
        <v>-0.27</v>
      </c>
      <c r="O160" s="19" t="n">
        <f aca="false">IF(M160="","",N160/M160)</f>
        <v>-0.000294069596471165</v>
      </c>
      <c r="P160" s="14" t="str">
        <f aca="false">IF(M160="","SEM TARIFA NO CONTRATO",IF(N160&gt;Resumo!$B$4,"ACIMA DA TABELA",IF(N160&lt;-Resumo!$B$4,"ABAIXO DA TABELA","OK")))</f>
        <v>OK</v>
      </c>
    </row>
    <row r="161" customFormat="false" ht="15" hidden="false" customHeight="false" outlineLevel="0" collapsed="false">
      <c r="A161" s="14" t="s">
        <v>376</v>
      </c>
      <c r="B161" s="14" t="s">
        <v>377</v>
      </c>
      <c r="C161" s="14" t="s">
        <v>24</v>
      </c>
      <c r="D161" s="15" t="n">
        <v>46102</v>
      </c>
      <c r="E161" s="14" t="n">
        <f aca="false">MONTH(D161)</f>
        <v>3</v>
      </c>
      <c r="F161" s="14" t="s">
        <v>61</v>
      </c>
      <c r="G161" s="14" t="s">
        <v>50</v>
      </c>
      <c r="H161" s="14" t="s">
        <v>62</v>
      </c>
      <c r="I161" s="16" t="n">
        <v>168</v>
      </c>
      <c r="J161" s="17" t="n">
        <v>1</v>
      </c>
      <c r="K161" s="18" t="n">
        <v>120</v>
      </c>
      <c r="L161" s="18" t="n">
        <v>168.21</v>
      </c>
      <c r="M161" s="18" t="n">
        <f aca="false">IF(J161="","",ROUND(MAX(I161*J161,K161),2))</f>
        <v>168</v>
      </c>
      <c r="N161" s="18" t="n">
        <f aca="false">IF(M161="","",ROUND(L161-M161,2))</f>
        <v>0.21</v>
      </c>
      <c r="O161" s="19" t="n">
        <f aca="false">IF(M161="","",N161/M161)</f>
        <v>0.00125</v>
      </c>
      <c r="P161" s="14" t="str">
        <f aca="false">IF(M161="","SEM TARIFA NO CONTRATO",IF(N161&gt;Resumo!$B$4,"ACIMA DA TABELA",IF(N161&lt;-Resumo!$B$4,"ABAIXO DA TABELA","OK")))</f>
        <v>OK</v>
      </c>
    </row>
    <row r="162" customFormat="false" ht="15" hidden="false" customHeight="false" outlineLevel="0" collapsed="false">
      <c r="A162" s="14" t="s">
        <v>378</v>
      </c>
      <c r="B162" s="14" t="s">
        <v>379</v>
      </c>
      <c r="C162" s="14" t="s">
        <v>25</v>
      </c>
      <c r="D162" s="15" t="n">
        <v>46102</v>
      </c>
      <c r="E162" s="14" t="n">
        <f aca="false">MONTH(D162)</f>
        <v>3</v>
      </c>
      <c r="F162" s="14" t="s">
        <v>44</v>
      </c>
      <c r="G162" s="14" t="s">
        <v>45</v>
      </c>
      <c r="H162" s="14" t="s">
        <v>46</v>
      </c>
      <c r="I162" s="16" t="n">
        <v>954.2</v>
      </c>
      <c r="J162" s="17" t="n">
        <v>0.8132</v>
      </c>
      <c r="K162" s="18" t="n">
        <v>103.74</v>
      </c>
      <c r="L162" s="18" t="n">
        <v>776.06</v>
      </c>
      <c r="M162" s="18" t="n">
        <f aca="false">IF(J162="","",ROUND(MAX(I162*J162,K162),2))</f>
        <v>775.96</v>
      </c>
      <c r="N162" s="18" t="n">
        <f aca="false">IF(M162="","",ROUND(L162-M162,2))</f>
        <v>0.1</v>
      </c>
      <c r="O162" s="19" t="n">
        <f aca="false">IF(M162="","",N162/M162)</f>
        <v>0.000128872622300119</v>
      </c>
      <c r="P162" s="14" t="str">
        <f aca="false">IF(M162="","SEM TARIFA NO CONTRATO",IF(N162&gt;Resumo!$B$4,"ACIMA DA TABELA",IF(N162&lt;-Resumo!$B$4,"ABAIXO DA TABELA","OK")))</f>
        <v>OK</v>
      </c>
    </row>
    <row r="163" customFormat="false" ht="15" hidden="false" customHeight="false" outlineLevel="0" collapsed="false">
      <c r="A163" s="14" t="s">
        <v>380</v>
      </c>
      <c r="B163" s="14" t="s">
        <v>381</v>
      </c>
      <c r="C163" s="14" t="s">
        <v>24</v>
      </c>
      <c r="D163" s="15" t="n">
        <v>46102</v>
      </c>
      <c r="E163" s="14" t="n">
        <f aca="false">MONTH(D163)</f>
        <v>3</v>
      </c>
      <c r="F163" s="14" t="s">
        <v>73</v>
      </c>
      <c r="G163" s="14" t="s">
        <v>50</v>
      </c>
      <c r="H163" s="14" t="s">
        <v>74</v>
      </c>
      <c r="I163" s="16" t="n">
        <v>395.2</v>
      </c>
      <c r="J163" s="17" t="n">
        <v>1.144</v>
      </c>
      <c r="K163" s="18" t="n">
        <v>130.8</v>
      </c>
      <c r="L163" s="18" t="n">
        <v>452.3</v>
      </c>
      <c r="M163" s="18" t="n">
        <f aca="false">IF(J163="","",ROUND(MAX(I163*J163,K163),2))</f>
        <v>452.11</v>
      </c>
      <c r="N163" s="18" t="n">
        <f aca="false">IF(M163="","",ROUND(L163-M163,2))</f>
        <v>0.19</v>
      </c>
      <c r="O163" s="19" t="n">
        <f aca="false">IF(M163="","",N163/M163)</f>
        <v>0.000420251708654973</v>
      </c>
      <c r="P163" s="14" t="str">
        <f aca="false">IF(M163="","SEM TARIFA NO CONTRATO",IF(N163&gt;Resumo!$B$4,"ACIMA DA TABELA",IF(N163&lt;-Resumo!$B$4,"ABAIXO DA TABELA","OK")))</f>
        <v>OK</v>
      </c>
    </row>
    <row r="164" customFormat="false" ht="15" hidden="false" customHeight="false" outlineLevel="0" collapsed="false">
      <c r="A164" s="14" t="s">
        <v>382</v>
      </c>
      <c r="B164" s="14" t="s">
        <v>383</v>
      </c>
      <c r="C164" s="14" t="s">
        <v>23</v>
      </c>
      <c r="D164" s="15" t="n">
        <v>46103</v>
      </c>
      <c r="E164" s="14" t="n">
        <f aca="false">MONTH(D164)</f>
        <v>3</v>
      </c>
      <c r="F164" s="14" t="s">
        <v>88</v>
      </c>
      <c r="G164" s="14" t="s">
        <v>50</v>
      </c>
      <c r="H164" s="14" t="s">
        <v>89</v>
      </c>
      <c r="I164" s="16" t="n">
        <v>122.7</v>
      </c>
      <c r="J164" s="17" t="n">
        <v>1.553</v>
      </c>
      <c r="K164" s="18" t="n">
        <v>157.87</v>
      </c>
      <c r="L164" s="18" t="n">
        <v>200.25</v>
      </c>
      <c r="M164" s="18" t="n">
        <f aca="false">IF(J164="","",ROUND(MAX(I164*J164,K164),2))</f>
        <v>190.55</v>
      </c>
      <c r="N164" s="18" t="n">
        <f aca="false">IF(M164="","",ROUND(L164-M164,2))</f>
        <v>9.7</v>
      </c>
      <c r="O164" s="19" t="n">
        <f aca="false">IF(M164="","",N164/M164)</f>
        <v>0.0509052742062451</v>
      </c>
      <c r="P164" s="14" t="str">
        <f aca="false">IF(M164="","SEM TARIFA NO CONTRATO",IF(N164&gt;Resumo!$B$4,"ACIMA DA TABELA",IF(N164&lt;-Resumo!$B$4,"ABAIXO DA TABELA","OK")))</f>
        <v>ACIMA DA TABELA</v>
      </c>
    </row>
    <row r="165" customFormat="false" ht="15" hidden="false" customHeight="false" outlineLevel="0" collapsed="false">
      <c r="A165" s="14" t="s">
        <v>384</v>
      </c>
      <c r="B165" s="14" t="s">
        <v>385</v>
      </c>
      <c r="C165" s="14" t="s">
        <v>24</v>
      </c>
      <c r="D165" s="15" t="n">
        <v>46103</v>
      </c>
      <c r="E165" s="14" t="n">
        <f aca="false">MONTH(D165)</f>
        <v>3</v>
      </c>
      <c r="F165" s="14" t="s">
        <v>73</v>
      </c>
      <c r="G165" s="14" t="s">
        <v>50</v>
      </c>
      <c r="H165" s="14" t="s">
        <v>74</v>
      </c>
      <c r="I165" s="16" t="n">
        <v>399.8</v>
      </c>
      <c r="J165" s="17" t="n">
        <v>1.144</v>
      </c>
      <c r="K165" s="18" t="n">
        <v>130.8</v>
      </c>
      <c r="L165" s="18" t="n">
        <v>457.21</v>
      </c>
      <c r="M165" s="18" t="n">
        <f aca="false">IF(J165="","",ROUND(MAX(I165*J165,K165),2))</f>
        <v>457.37</v>
      </c>
      <c r="N165" s="18" t="n">
        <f aca="false">IF(M165="","",ROUND(L165-M165,2))</f>
        <v>-0.16</v>
      </c>
      <c r="O165" s="19" t="n">
        <f aca="false">IF(M165="","",N165/M165)</f>
        <v>-0.000349826180116755</v>
      </c>
      <c r="P165" s="14" t="str">
        <f aca="false">IF(M165="","SEM TARIFA NO CONTRATO",IF(N165&gt;Resumo!$B$4,"ACIMA DA TABELA",IF(N165&lt;-Resumo!$B$4,"ABAIXO DA TABELA","OK")))</f>
        <v>OK</v>
      </c>
    </row>
    <row r="166" customFormat="false" ht="15" hidden="false" customHeight="false" outlineLevel="0" collapsed="false">
      <c r="A166" s="14" t="s">
        <v>386</v>
      </c>
      <c r="B166" s="14" t="s">
        <v>387</v>
      </c>
      <c r="C166" s="14" t="s">
        <v>25</v>
      </c>
      <c r="D166" s="15" t="n">
        <v>46103</v>
      </c>
      <c r="E166" s="14" t="n">
        <f aca="false">MONTH(D166)</f>
        <v>3</v>
      </c>
      <c r="F166" s="14" t="s">
        <v>88</v>
      </c>
      <c r="G166" s="14" t="s">
        <v>50</v>
      </c>
      <c r="H166" s="14" t="s">
        <v>89</v>
      </c>
      <c r="I166" s="16" t="n">
        <v>447.9</v>
      </c>
      <c r="J166" s="17" t="n">
        <v>1.6036</v>
      </c>
      <c r="K166" s="18" t="n">
        <v>163.02</v>
      </c>
      <c r="L166" s="18" t="n">
        <v>718.65</v>
      </c>
      <c r="M166" s="18" t="n">
        <f aca="false">IF(J166="","",ROUND(MAX(I166*J166,K166),2))</f>
        <v>718.25</v>
      </c>
      <c r="N166" s="18" t="n">
        <f aca="false">IF(M166="","",ROUND(L166-M166,2))</f>
        <v>0.4</v>
      </c>
      <c r="O166" s="19" t="n">
        <f aca="false">IF(M166="","",N166/M166)</f>
        <v>0.000556909154194222</v>
      </c>
      <c r="P166" s="14" t="str">
        <f aca="false">IF(M166="","SEM TARIFA NO CONTRATO",IF(N166&gt;Resumo!$B$4,"ACIMA DA TABELA",IF(N166&lt;-Resumo!$B$4,"ABAIXO DA TABELA","OK")))</f>
        <v>OK</v>
      </c>
    </row>
    <row r="167" customFormat="false" ht="15" hidden="false" customHeight="false" outlineLevel="0" collapsed="false">
      <c r="A167" s="14" t="s">
        <v>388</v>
      </c>
      <c r="B167" s="14" t="s">
        <v>389</v>
      </c>
      <c r="C167" s="14" t="s">
        <v>25</v>
      </c>
      <c r="D167" s="15" t="n">
        <v>46104</v>
      </c>
      <c r="E167" s="14" t="n">
        <f aca="false">MONTH(D167)</f>
        <v>3</v>
      </c>
      <c r="F167" s="14" t="s">
        <v>88</v>
      </c>
      <c r="G167" s="14" t="s">
        <v>50</v>
      </c>
      <c r="H167" s="14" t="s">
        <v>89</v>
      </c>
      <c r="I167" s="16" t="n">
        <v>312.7</v>
      </c>
      <c r="J167" s="17" t="n">
        <v>1.6036</v>
      </c>
      <c r="K167" s="18" t="n">
        <v>163.02</v>
      </c>
      <c r="L167" s="18" t="n">
        <v>501.42</v>
      </c>
      <c r="M167" s="18" t="n">
        <f aca="false">IF(J167="","",ROUND(MAX(I167*J167,K167),2))</f>
        <v>501.45</v>
      </c>
      <c r="N167" s="18" t="n">
        <f aca="false">IF(M167="","",ROUND(L167-M167,2))</f>
        <v>-0.03</v>
      </c>
      <c r="O167" s="19" t="n">
        <f aca="false">IF(M167="","",N167/M167)</f>
        <v>-5.98265031408914E-005</v>
      </c>
      <c r="P167" s="14" t="str">
        <f aca="false">IF(M167="","SEM TARIFA NO CONTRATO",IF(N167&gt;Resumo!$B$4,"ACIMA DA TABELA",IF(N167&lt;-Resumo!$B$4,"ABAIXO DA TABELA","OK")))</f>
        <v>OK</v>
      </c>
    </row>
    <row r="168" customFormat="false" ht="15" hidden="false" customHeight="false" outlineLevel="0" collapsed="false">
      <c r="A168" s="14" t="s">
        <v>390</v>
      </c>
      <c r="B168" s="14" t="s">
        <v>391</v>
      </c>
      <c r="C168" s="14" t="s">
        <v>24</v>
      </c>
      <c r="D168" s="15" t="n">
        <v>46105</v>
      </c>
      <c r="E168" s="14" t="n">
        <f aca="false">MONTH(D168)</f>
        <v>3</v>
      </c>
      <c r="F168" s="14" t="s">
        <v>79</v>
      </c>
      <c r="G168" s="14" t="s">
        <v>50</v>
      </c>
      <c r="H168" s="14" t="s">
        <v>46</v>
      </c>
      <c r="I168" s="16" t="n">
        <v>187.2</v>
      </c>
      <c r="J168" s="17" t="n">
        <v>0.36</v>
      </c>
      <c r="K168" s="18" t="n">
        <v>72</v>
      </c>
      <c r="L168" s="18" t="n">
        <v>72.36</v>
      </c>
      <c r="M168" s="18" t="n">
        <f aca="false">IF(J168="","",ROUND(MAX(I168*J168,K168),2))</f>
        <v>72</v>
      </c>
      <c r="N168" s="18" t="n">
        <f aca="false">IF(M168="","",ROUND(L168-M168,2))</f>
        <v>0.36</v>
      </c>
      <c r="O168" s="19" t="n">
        <f aca="false">IF(M168="","",N168/M168)</f>
        <v>0.005</v>
      </c>
      <c r="P168" s="14" t="str">
        <f aca="false">IF(M168="","SEM TARIFA NO CONTRATO",IF(N168&gt;Resumo!$B$4,"ACIMA DA TABELA",IF(N168&lt;-Resumo!$B$4,"ABAIXO DA TABELA","OK")))</f>
        <v>OK</v>
      </c>
    </row>
    <row r="169" customFormat="false" ht="15" hidden="false" customHeight="false" outlineLevel="0" collapsed="false">
      <c r="A169" s="14" t="s">
        <v>392</v>
      </c>
      <c r="B169" s="14" t="s">
        <v>393</v>
      </c>
      <c r="C169" s="14" t="s">
        <v>22</v>
      </c>
      <c r="D169" s="15" t="n">
        <v>46105</v>
      </c>
      <c r="E169" s="14" t="n">
        <f aca="false">MONTH(D169)</f>
        <v>3</v>
      </c>
      <c r="F169" s="14" t="s">
        <v>56</v>
      </c>
      <c r="G169" s="14" t="s">
        <v>50</v>
      </c>
      <c r="H169" s="14" t="s">
        <v>45</v>
      </c>
      <c r="I169" s="16" t="n">
        <v>137.9</v>
      </c>
      <c r="J169" s="17" t="n">
        <v>0.8988</v>
      </c>
      <c r="K169" s="18" t="n">
        <v>114.66</v>
      </c>
      <c r="L169" s="18" t="n">
        <v>142.21</v>
      </c>
      <c r="M169" s="18" t="n">
        <f aca="false">IF(J169="","",ROUND(MAX(I169*J169,K169),2))</f>
        <v>123.94</v>
      </c>
      <c r="N169" s="18" t="n">
        <f aca="false">IF(M169="","",ROUND(L169-M169,2))</f>
        <v>18.27</v>
      </c>
      <c r="O169" s="19" t="n">
        <f aca="false">IF(M169="","",N169/M169)</f>
        <v>0.147410037114733</v>
      </c>
      <c r="P169" s="14" t="str">
        <f aca="false">IF(M169="","SEM TARIFA NO CONTRATO",IF(N169&gt;Resumo!$B$4,"ACIMA DA TABELA",IF(N169&lt;-Resumo!$B$4,"ABAIXO DA TABELA","OK")))</f>
        <v>ACIMA DA TABELA</v>
      </c>
    </row>
    <row r="170" customFormat="false" ht="15" hidden="false" customHeight="false" outlineLevel="0" collapsed="false">
      <c r="A170" s="14" t="s">
        <v>394</v>
      </c>
      <c r="B170" s="14" t="s">
        <v>395</v>
      </c>
      <c r="C170" s="14" t="s">
        <v>24</v>
      </c>
      <c r="D170" s="15" t="n">
        <v>46105</v>
      </c>
      <c r="E170" s="14" t="n">
        <f aca="false">MONTH(D170)</f>
        <v>3</v>
      </c>
      <c r="F170" s="14" t="s">
        <v>67</v>
      </c>
      <c r="G170" s="14" t="s">
        <v>50</v>
      </c>
      <c r="H170" s="14" t="s">
        <v>68</v>
      </c>
      <c r="I170" s="16" t="n">
        <v>154.9</v>
      </c>
      <c r="J170" s="17" t="n">
        <v>1.96</v>
      </c>
      <c r="K170" s="18" t="n">
        <v>192</v>
      </c>
      <c r="L170" s="18" t="n">
        <v>303.92</v>
      </c>
      <c r="M170" s="18" t="n">
        <f aca="false">IF(J170="","",ROUND(MAX(I170*J170,K170),2))</f>
        <v>303.6</v>
      </c>
      <c r="N170" s="18" t="n">
        <f aca="false">IF(M170="","",ROUND(L170-M170,2))</f>
        <v>0.32</v>
      </c>
      <c r="O170" s="19" t="n">
        <f aca="false">IF(M170="","",N170/M170)</f>
        <v>0.00105401844532279</v>
      </c>
      <c r="P170" s="14" t="str">
        <f aca="false">IF(M170="","SEM TARIFA NO CONTRATO",IF(N170&gt;Resumo!$B$4,"ACIMA DA TABELA",IF(N170&lt;-Resumo!$B$4,"ABAIXO DA TABELA","OK")))</f>
        <v>OK</v>
      </c>
    </row>
    <row r="171" customFormat="false" ht="15" hidden="false" customHeight="false" outlineLevel="0" collapsed="false">
      <c r="A171" s="14" t="s">
        <v>396</v>
      </c>
      <c r="B171" s="14" t="s">
        <v>397</v>
      </c>
      <c r="C171" s="14" t="s">
        <v>24</v>
      </c>
      <c r="D171" s="15" t="n">
        <v>46105</v>
      </c>
      <c r="E171" s="14" t="n">
        <f aca="false">MONTH(D171)</f>
        <v>3</v>
      </c>
      <c r="F171" s="14" t="s">
        <v>44</v>
      </c>
      <c r="G171" s="14" t="s">
        <v>45</v>
      </c>
      <c r="H171" s="14" t="s">
        <v>46</v>
      </c>
      <c r="I171" s="16" t="n">
        <v>140.4</v>
      </c>
      <c r="J171" s="17" t="n">
        <v>0.856</v>
      </c>
      <c r="K171" s="18" t="n">
        <v>109.2</v>
      </c>
      <c r="L171" s="18" t="n">
        <v>120.41</v>
      </c>
      <c r="M171" s="18" t="n">
        <f aca="false">IF(J171="","",ROUND(MAX(I171*J171,K171),2))</f>
        <v>120.18</v>
      </c>
      <c r="N171" s="18" t="n">
        <f aca="false">IF(M171="","",ROUND(L171-M171,2))</f>
        <v>0.23</v>
      </c>
      <c r="O171" s="19" t="n">
        <f aca="false">IF(M171="","",N171/M171)</f>
        <v>0.00191379597270761</v>
      </c>
      <c r="P171" s="14" t="str">
        <f aca="false">IF(M171="","SEM TARIFA NO CONTRATO",IF(N171&gt;Resumo!$B$4,"ACIMA DA TABELA",IF(N171&lt;-Resumo!$B$4,"ABAIXO DA TABELA","OK")))</f>
        <v>OK</v>
      </c>
    </row>
    <row r="172" customFormat="false" ht="15" hidden="false" customHeight="false" outlineLevel="0" collapsed="false">
      <c r="A172" s="14" t="s">
        <v>398</v>
      </c>
      <c r="B172" s="14" t="s">
        <v>399</v>
      </c>
      <c r="C172" s="14" t="s">
        <v>21</v>
      </c>
      <c r="D172" s="15" t="n">
        <v>46105</v>
      </c>
      <c r="E172" s="14" t="n">
        <f aca="false">MONTH(D172)</f>
        <v>3</v>
      </c>
      <c r="F172" s="14" t="s">
        <v>61</v>
      </c>
      <c r="G172" s="14" t="s">
        <v>50</v>
      </c>
      <c r="H172" s="14" t="s">
        <v>62</v>
      </c>
      <c r="I172" s="16" t="n">
        <v>307.9</v>
      </c>
      <c r="J172" s="17" t="n">
        <v>1.1</v>
      </c>
      <c r="K172" s="18" t="n">
        <v>132</v>
      </c>
      <c r="L172" s="18" t="n">
        <v>338.93</v>
      </c>
      <c r="M172" s="18" t="n">
        <f aca="false">IF(J172="","",ROUND(MAX(I172*J172,K172),2))</f>
        <v>338.69</v>
      </c>
      <c r="N172" s="18" t="n">
        <f aca="false">IF(M172="","",ROUND(L172-M172,2))</f>
        <v>0.24</v>
      </c>
      <c r="O172" s="19" t="n">
        <f aca="false">IF(M172="","",N172/M172)</f>
        <v>0.000708612595588887</v>
      </c>
      <c r="P172" s="14" t="str">
        <f aca="false">IF(M172="","SEM TARIFA NO CONTRATO",IF(N172&gt;Resumo!$B$4,"ACIMA DA TABELA",IF(N172&lt;-Resumo!$B$4,"ABAIXO DA TABELA","OK")))</f>
        <v>OK</v>
      </c>
    </row>
    <row r="173" customFormat="false" ht="15" hidden="false" customHeight="false" outlineLevel="0" collapsed="false">
      <c r="A173" s="14" t="s">
        <v>400</v>
      </c>
      <c r="B173" s="14" t="s">
        <v>401</v>
      </c>
      <c r="C173" s="14" t="s">
        <v>25</v>
      </c>
      <c r="D173" s="15" t="n">
        <v>46105</v>
      </c>
      <c r="E173" s="14" t="n">
        <f aca="false">MONTH(D173)</f>
        <v>3</v>
      </c>
      <c r="F173" s="14" t="s">
        <v>104</v>
      </c>
      <c r="G173" s="14" t="s">
        <v>45</v>
      </c>
      <c r="H173" s="14" t="s">
        <v>68</v>
      </c>
      <c r="I173" s="16" t="n">
        <v>321.1</v>
      </c>
      <c r="J173" s="17" t="n">
        <v>1.254</v>
      </c>
      <c r="K173" s="18" t="n">
        <v>136.8</v>
      </c>
      <c r="L173" s="18" t="n">
        <v>459.87</v>
      </c>
      <c r="M173" s="18" t="n">
        <f aca="false">IF(J173="","",ROUND(MAX(I173*J173,K173),2))</f>
        <v>402.66</v>
      </c>
      <c r="N173" s="18" t="n">
        <f aca="false">IF(M173="","",ROUND(L173-M173,2))</f>
        <v>57.21</v>
      </c>
      <c r="O173" s="19" t="n">
        <f aca="false">IF(M173="","",N173/M173)</f>
        <v>0.14208016689018</v>
      </c>
      <c r="P173" s="14" t="str">
        <f aca="false">IF(M173="","SEM TARIFA NO CONTRATO",IF(N173&gt;Resumo!$B$4,"ACIMA DA TABELA",IF(N173&lt;-Resumo!$B$4,"ABAIXO DA TABELA","OK")))</f>
        <v>ACIMA DA TABELA</v>
      </c>
    </row>
    <row r="174" customFormat="false" ht="15" hidden="false" customHeight="false" outlineLevel="0" collapsed="false">
      <c r="A174" s="14" t="s">
        <v>402</v>
      </c>
      <c r="B174" s="14" t="s">
        <v>403</v>
      </c>
      <c r="C174" s="14" t="s">
        <v>24</v>
      </c>
      <c r="D174" s="15" t="n">
        <v>46107</v>
      </c>
      <c r="E174" s="14" t="n">
        <f aca="false">MONTH(D174)</f>
        <v>3</v>
      </c>
      <c r="F174" s="14" t="s">
        <v>56</v>
      </c>
      <c r="G174" s="14" t="s">
        <v>50</v>
      </c>
      <c r="H174" s="14" t="s">
        <v>45</v>
      </c>
      <c r="I174" s="16" t="n">
        <v>423.9</v>
      </c>
      <c r="J174" s="17" t="n">
        <v>0.856</v>
      </c>
      <c r="K174" s="18" t="n">
        <v>109.2</v>
      </c>
      <c r="L174" s="18" t="n">
        <v>362.89</v>
      </c>
      <c r="M174" s="18" t="n">
        <f aca="false">IF(J174="","",ROUND(MAX(I174*J174,K174),2))</f>
        <v>362.86</v>
      </c>
      <c r="N174" s="18" t="n">
        <f aca="false">IF(M174="","",ROUND(L174-M174,2))</f>
        <v>0.03</v>
      </c>
      <c r="O174" s="19" t="n">
        <f aca="false">IF(M174="","",N174/M174)</f>
        <v>8.26765143581547E-005</v>
      </c>
      <c r="P174" s="14" t="str">
        <f aca="false">IF(M174="","SEM TARIFA NO CONTRATO",IF(N174&gt;Resumo!$B$4,"ACIMA DA TABELA",IF(N174&lt;-Resumo!$B$4,"ABAIXO DA TABELA","OK")))</f>
        <v>OK</v>
      </c>
    </row>
    <row r="175" customFormat="false" ht="15" hidden="false" customHeight="false" outlineLevel="0" collapsed="false">
      <c r="A175" s="14" t="s">
        <v>404</v>
      </c>
      <c r="B175" s="14" t="s">
        <v>405</v>
      </c>
      <c r="C175" s="14" t="s">
        <v>22</v>
      </c>
      <c r="D175" s="15" t="n">
        <v>46107</v>
      </c>
      <c r="E175" s="14" t="n">
        <f aca="false">MONTH(D175)</f>
        <v>3</v>
      </c>
      <c r="F175" s="14" t="s">
        <v>104</v>
      </c>
      <c r="G175" s="14" t="s">
        <v>45</v>
      </c>
      <c r="H175" s="14" t="s">
        <v>68</v>
      </c>
      <c r="I175" s="16" t="n">
        <v>2297.4</v>
      </c>
      <c r="J175" s="17" t="n">
        <v>1.386</v>
      </c>
      <c r="K175" s="18" t="n">
        <v>151.2</v>
      </c>
      <c r="L175" s="18" t="n">
        <v>3529.93</v>
      </c>
      <c r="M175" s="18" t="n">
        <f aca="false">IF(J175="","",ROUND(MAX(I175*J175,K175),2))</f>
        <v>3184.2</v>
      </c>
      <c r="N175" s="18" t="n">
        <f aca="false">IF(M175="","",ROUND(L175-M175,2))</f>
        <v>345.73</v>
      </c>
      <c r="O175" s="19" t="n">
        <f aca="false">IF(M175="","",N175/M175)</f>
        <v>0.108576722567678</v>
      </c>
      <c r="P175" s="14" t="str">
        <f aca="false">IF(M175="","SEM TARIFA NO CONTRATO",IF(N175&gt;Resumo!$B$4,"ACIMA DA TABELA",IF(N175&lt;-Resumo!$B$4,"ABAIXO DA TABELA","OK")))</f>
        <v>ACIMA DA TABELA</v>
      </c>
    </row>
    <row r="176" customFormat="false" ht="15" hidden="false" customHeight="false" outlineLevel="0" collapsed="false">
      <c r="A176" s="14" t="s">
        <v>406</v>
      </c>
      <c r="B176" s="14" t="s">
        <v>407</v>
      </c>
      <c r="C176" s="14" t="s">
        <v>24</v>
      </c>
      <c r="D176" s="15" t="n">
        <v>46107</v>
      </c>
      <c r="E176" s="14" t="n">
        <f aca="false">MONTH(D176)</f>
        <v>3</v>
      </c>
      <c r="F176" s="14" t="s">
        <v>44</v>
      </c>
      <c r="G176" s="14" t="s">
        <v>45</v>
      </c>
      <c r="H176" s="14" t="s">
        <v>46</v>
      </c>
      <c r="I176" s="16" t="n">
        <v>704.2</v>
      </c>
      <c r="J176" s="17" t="n">
        <v>0.856</v>
      </c>
      <c r="K176" s="18" t="n">
        <v>109.2</v>
      </c>
      <c r="L176" s="18" t="n">
        <v>602.69</v>
      </c>
      <c r="M176" s="18" t="n">
        <f aca="false">IF(J176="","",ROUND(MAX(I176*J176,K176),2))</f>
        <v>602.8</v>
      </c>
      <c r="N176" s="18" t="n">
        <f aca="false">IF(M176="","",ROUND(L176-M176,2))</f>
        <v>-0.11</v>
      </c>
      <c r="O176" s="19" t="n">
        <f aca="false">IF(M176="","",N176/M176)</f>
        <v>-0.000182481751824818</v>
      </c>
      <c r="P176" s="14" t="str">
        <f aca="false">IF(M176="","SEM TARIFA NO CONTRATO",IF(N176&gt;Resumo!$B$4,"ACIMA DA TABELA",IF(N176&lt;-Resumo!$B$4,"ABAIXO DA TABELA","OK")))</f>
        <v>OK</v>
      </c>
    </row>
    <row r="177" customFormat="false" ht="15" hidden="false" customHeight="false" outlineLevel="0" collapsed="false">
      <c r="A177" s="14" t="s">
        <v>408</v>
      </c>
      <c r="B177" s="14" t="s">
        <v>409</v>
      </c>
      <c r="C177" s="14" t="s">
        <v>24</v>
      </c>
      <c r="D177" s="15" t="n">
        <v>46107</v>
      </c>
      <c r="E177" s="14" t="n">
        <f aca="false">MONTH(D177)</f>
        <v>3</v>
      </c>
      <c r="F177" s="14" t="s">
        <v>44</v>
      </c>
      <c r="G177" s="14" t="s">
        <v>45</v>
      </c>
      <c r="H177" s="14" t="s">
        <v>46</v>
      </c>
      <c r="I177" s="16" t="n">
        <v>2049.8</v>
      </c>
      <c r="J177" s="17" t="n">
        <v>0.856</v>
      </c>
      <c r="K177" s="18" t="n">
        <v>109.2</v>
      </c>
      <c r="L177" s="18" t="n">
        <v>1754.57</v>
      </c>
      <c r="M177" s="18" t="n">
        <f aca="false">IF(J177="","",ROUND(MAX(I177*J177,K177),2))</f>
        <v>1754.63</v>
      </c>
      <c r="N177" s="18" t="n">
        <f aca="false">IF(M177="","",ROUND(L177-M177,2))</f>
        <v>-0.06</v>
      </c>
      <c r="O177" s="19" t="n">
        <f aca="false">IF(M177="","",N177/M177)</f>
        <v>-3.41952434416373E-005</v>
      </c>
      <c r="P177" s="14" t="str">
        <f aca="false">IF(M177="","SEM TARIFA NO CONTRATO",IF(N177&gt;Resumo!$B$4,"ACIMA DA TABELA",IF(N177&lt;-Resumo!$B$4,"ABAIXO DA TABELA","OK")))</f>
        <v>OK</v>
      </c>
    </row>
    <row r="178" customFormat="false" ht="15" hidden="false" customHeight="false" outlineLevel="0" collapsed="false">
      <c r="A178" s="14" t="s">
        <v>410</v>
      </c>
      <c r="B178" s="14" t="s">
        <v>411</v>
      </c>
      <c r="C178" s="14" t="s">
        <v>25</v>
      </c>
      <c r="D178" s="15" t="n">
        <v>46107</v>
      </c>
      <c r="E178" s="14" t="n">
        <f aca="false">MONTH(D178)</f>
        <v>3</v>
      </c>
      <c r="F178" s="14" t="s">
        <v>56</v>
      </c>
      <c r="G178" s="14" t="s">
        <v>50</v>
      </c>
      <c r="H178" s="14" t="s">
        <v>45</v>
      </c>
      <c r="I178" s="16" t="n">
        <v>135.5</v>
      </c>
      <c r="J178" s="17" t="n">
        <v>0.8132</v>
      </c>
      <c r="K178" s="18" t="n">
        <v>103.74</v>
      </c>
      <c r="L178" s="18" t="n">
        <v>109.98</v>
      </c>
      <c r="M178" s="18" t="n">
        <f aca="false">IF(J178="","",ROUND(MAX(I178*J178,K178),2))</f>
        <v>110.19</v>
      </c>
      <c r="N178" s="18" t="n">
        <f aca="false">IF(M178="","",ROUND(L178-M178,2))</f>
        <v>-0.21</v>
      </c>
      <c r="O178" s="19" t="n">
        <f aca="false">IF(M178="","",N178/M178)</f>
        <v>-0.00190579907432616</v>
      </c>
      <c r="P178" s="14" t="str">
        <f aca="false">IF(M178="","SEM TARIFA NO CONTRATO",IF(N178&gt;Resumo!$B$4,"ACIMA DA TABELA",IF(N178&lt;-Resumo!$B$4,"ABAIXO DA TABELA","OK")))</f>
        <v>OK</v>
      </c>
    </row>
    <row r="179" customFormat="false" ht="15" hidden="false" customHeight="false" outlineLevel="0" collapsed="false">
      <c r="A179" s="14" t="s">
        <v>412</v>
      </c>
      <c r="B179" s="14" t="s">
        <v>413</v>
      </c>
      <c r="C179" s="14" t="s">
        <v>22</v>
      </c>
      <c r="D179" s="15" t="n">
        <v>46107</v>
      </c>
      <c r="E179" s="14" t="n">
        <f aca="false">MONTH(D179)</f>
        <v>3</v>
      </c>
      <c r="F179" s="14" t="s">
        <v>49</v>
      </c>
      <c r="G179" s="14" t="s">
        <v>50</v>
      </c>
      <c r="H179" s="14" t="s">
        <v>51</v>
      </c>
      <c r="I179" s="16" t="n">
        <v>782.1</v>
      </c>
      <c r="J179" s="17" t="n">
        <v>4.662</v>
      </c>
      <c r="K179" s="18" t="n">
        <v>396.9</v>
      </c>
      <c r="L179" s="18" t="n">
        <v>3645.88</v>
      </c>
      <c r="M179" s="18" t="n">
        <f aca="false">IF(J179="","",ROUND(MAX(I179*J179,K179),2))</f>
        <v>3646.15</v>
      </c>
      <c r="N179" s="18" t="n">
        <f aca="false">IF(M179="","",ROUND(L179-M179,2))</f>
        <v>-0.27</v>
      </c>
      <c r="O179" s="19" t="n">
        <f aca="false">IF(M179="","",N179/M179)</f>
        <v>-7.40507110239568E-005</v>
      </c>
      <c r="P179" s="14" t="str">
        <f aca="false">IF(M179="","SEM TARIFA NO CONTRATO",IF(N179&gt;Resumo!$B$4,"ACIMA DA TABELA",IF(N179&lt;-Resumo!$B$4,"ABAIXO DA TABELA","OK")))</f>
        <v>OK</v>
      </c>
    </row>
    <row r="180" customFormat="false" ht="15" hidden="false" customHeight="false" outlineLevel="0" collapsed="false">
      <c r="A180" s="14" t="s">
        <v>414</v>
      </c>
      <c r="B180" s="14" t="s">
        <v>415</v>
      </c>
      <c r="C180" s="14" t="s">
        <v>21</v>
      </c>
      <c r="D180" s="15" t="n">
        <v>46108</v>
      </c>
      <c r="E180" s="14" t="n">
        <f aca="false">MONTH(D180)</f>
        <v>3</v>
      </c>
      <c r="F180" s="14" t="s">
        <v>67</v>
      </c>
      <c r="G180" s="14" t="s">
        <v>50</v>
      </c>
      <c r="H180" s="14" t="s">
        <v>68</v>
      </c>
      <c r="I180" s="16" t="n">
        <v>2246.7</v>
      </c>
      <c r="J180" s="17" t="n">
        <v>2.156</v>
      </c>
      <c r="K180" s="18" t="n">
        <v>211.2</v>
      </c>
      <c r="L180" s="18" t="n">
        <v>4843.62</v>
      </c>
      <c r="M180" s="18" t="n">
        <f aca="false">IF(J180="","",ROUND(MAX(I180*J180,K180),2))</f>
        <v>4843.89</v>
      </c>
      <c r="N180" s="18" t="n">
        <f aca="false">IF(M180="","",ROUND(L180-M180,2))</f>
        <v>-0.27</v>
      </c>
      <c r="O180" s="19" t="n">
        <f aca="false">IF(M180="","",N180/M180)</f>
        <v>-5.57403244086881E-005</v>
      </c>
      <c r="P180" s="14" t="str">
        <f aca="false">IF(M180="","SEM TARIFA NO CONTRATO",IF(N180&gt;Resumo!$B$4,"ACIMA DA TABELA",IF(N180&lt;-Resumo!$B$4,"ABAIXO DA TABELA","OK")))</f>
        <v>OK</v>
      </c>
    </row>
    <row r="181" customFormat="false" ht="15" hidden="false" customHeight="false" outlineLevel="0" collapsed="false">
      <c r="A181" s="14" t="s">
        <v>416</v>
      </c>
      <c r="B181" s="14" t="s">
        <v>417</v>
      </c>
      <c r="C181" s="14" t="s">
        <v>23</v>
      </c>
      <c r="D181" s="15" t="n">
        <v>46108</v>
      </c>
      <c r="E181" s="14" t="n">
        <f aca="false">MONTH(D181)</f>
        <v>3</v>
      </c>
      <c r="F181" s="14" t="s">
        <v>56</v>
      </c>
      <c r="G181" s="14" t="s">
        <v>50</v>
      </c>
      <c r="H181" s="14" t="s">
        <v>45</v>
      </c>
      <c r="I181" s="16" t="n">
        <v>483.7</v>
      </c>
      <c r="J181" s="17" t="n">
        <v>0.7875</v>
      </c>
      <c r="K181" s="18" t="n">
        <v>100.46</v>
      </c>
      <c r="L181" s="18" t="n">
        <v>380.77</v>
      </c>
      <c r="M181" s="18" t="n">
        <f aca="false">IF(J181="","",ROUND(MAX(I181*J181,K181),2))</f>
        <v>380.91</v>
      </c>
      <c r="N181" s="18" t="n">
        <f aca="false">IF(M181="","",ROUND(L181-M181,2))</f>
        <v>-0.14</v>
      </c>
      <c r="O181" s="19" t="n">
        <f aca="false">IF(M181="","",N181/M181)</f>
        <v>-0.000367540888923893</v>
      </c>
      <c r="P181" s="14" t="str">
        <f aca="false">IF(M181="","SEM TARIFA NO CONTRATO",IF(N181&gt;Resumo!$B$4,"ACIMA DA TABELA",IF(N181&lt;-Resumo!$B$4,"ABAIXO DA TABELA","OK")))</f>
        <v>OK</v>
      </c>
    </row>
    <row r="182" customFormat="false" ht="15" hidden="false" customHeight="false" outlineLevel="0" collapsed="false">
      <c r="A182" s="14" t="s">
        <v>418</v>
      </c>
      <c r="B182" s="14" t="s">
        <v>419</v>
      </c>
      <c r="C182" s="14" t="s">
        <v>22</v>
      </c>
      <c r="D182" s="15" t="n">
        <v>46108</v>
      </c>
      <c r="E182" s="14" t="n">
        <f aca="false">MONTH(D182)</f>
        <v>3</v>
      </c>
      <c r="F182" s="14" t="s">
        <v>118</v>
      </c>
      <c r="G182" s="14" t="s">
        <v>50</v>
      </c>
      <c r="H182" s="14" t="s">
        <v>119</v>
      </c>
      <c r="I182" s="16" t="n">
        <v>870.8</v>
      </c>
      <c r="J182" s="17" t="n">
        <v>3.5028</v>
      </c>
      <c r="K182" s="18" t="n">
        <v>309.96</v>
      </c>
      <c r="L182" s="18" t="n">
        <v>3050.06</v>
      </c>
      <c r="M182" s="18" t="n">
        <f aca="false">IF(J182="","",ROUND(MAX(I182*J182,K182),2))</f>
        <v>3050.24</v>
      </c>
      <c r="N182" s="18" t="n">
        <f aca="false">IF(M182="","",ROUND(L182-M182,2))</f>
        <v>-0.18</v>
      </c>
      <c r="O182" s="19" t="n">
        <f aca="false">IF(M182="","",N182/M182)</f>
        <v>-5.90117498950902E-005</v>
      </c>
      <c r="P182" s="14" t="str">
        <f aca="false">IF(M182="","SEM TARIFA NO CONTRATO",IF(N182&gt;Resumo!$B$4,"ACIMA DA TABELA",IF(N182&lt;-Resumo!$B$4,"ABAIXO DA TABELA","OK")))</f>
        <v>OK</v>
      </c>
    </row>
    <row r="183" customFormat="false" ht="15" hidden="false" customHeight="false" outlineLevel="0" collapsed="false">
      <c r="A183" s="14" t="s">
        <v>420</v>
      </c>
      <c r="B183" s="14" t="s">
        <v>421</v>
      </c>
      <c r="C183" s="14" t="s">
        <v>25</v>
      </c>
      <c r="D183" s="15" t="n">
        <v>46108</v>
      </c>
      <c r="E183" s="14" t="n">
        <f aca="false">MONTH(D183)</f>
        <v>3</v>
      </c>
      <c r="F183" s="14" t="s">
        <v>56</v>
      </c>
      <c r="G183" s="14" t="s">
        <v>50</v>
      </c>
      <c r="H183" s="14" t="s">
        <v>45</v>
      </c>
      <c r="I183" s="16" t="n">
        <v>200.2</v>
      </c>
      <c r="J183" s="17" t="n">
        <v>0.8132</v>
      </c>
      <c r="K183" s="18" t="n">
        <v>103.74</v>
      </c>
      <c r="L183" s="18" t="n">
        <v>162.88</v>
      </c>
      <c r="M183" s="18" t="n">
        <f aca="false">IF(J183="","",ROUND(MAX(I183*J183,K183),2))</f>
        <v>162.8</v>
      </c>
      <c r="N183" s="18" t="n">
        <f aca="false">IF(M183="","",ROUND(L183-M183,2))</f>
        <v>0.08</v>
      </c>
      <c r="O183" s="19" t="n">
        <f aca="false">IF(M183="","",N183/M183)</f>
        <v>0.000491400491400491</v>
      </c>
      <c r="P183" s="14" t="str">
        <f aca="false">IF(M183="","SEM TARIFA NO CONTRATO",IF(N183&gt;Resumo!$B$4,"ACIMA DA TABELA",IF(N183&lt;-Resumo!$B$4,"ABAIXO DA TABELA","OK")))</f>
        <v>OK</v>
      </c>
    </row>
    <row r="184" customFormat="false" ht="15" hidden="false" customHeight="false" outlineLevel="0" collapsed="false">
      <c r="A184" s="14" t="s">
        <v>422</v>
      </c>
      <c r="B184" s="14" t="s">
        <v>423</v>
      </c>
      <c r="C184" s="14" t="s">
        <v>25</v>
      </c>
      <c r="D184" s="15" t="n">
        <v>46108</v>
      </c>
      <c r="E184" s="14" t="n">
        <f aca="false">MONTH(D184)</f>
        <v>3</v>
      </c>
      <c r="F184" s="14" t="s">
        <v>79</v>
      </c>
      <c r="G184" s="14" t="s">
        <v>50</v>
      </c>
      <c r="H184" s="14" t="s">
        <v>46</v>
      </c>
      <c r="I184" s="16" t="n">
        <v>1472.1</v>
      </c>
      <c r="J184" s="17" t="n">
        <v>0.342</v>
      </c>
      <c r="K184" s="18" t="n">
        <v>68.4</v>
      </c>
      <c r="L184" s="18" t="n">
        <v>503.37</v>
      </c>
      <c r="M184" s="18" t="n">
        <f aca="false">IF(J184="","",ROUND(MAX(I184*J184,K184),2))</f>
        <v>503.46</v>
      </c>
      <c r="N184" s="18" t="n">
        <f aca="false">IF(M184="","",ROUND(L184-M184,2))</f>
        <v>-0.09</v>
      </c>
      <c r="O184" s="19" t="n">
        <f aca="false">IF(M184="","",N184/M184)</f>
        <v>-0.000178762960314623</v>
      </c>
      <c r="P184" s="14" t="str">
        <f aca="false">IF(M184="","SEM TARIFA NO CONTRATO",IF(N184&gt;Resumo!$B$4,"ACIMA DA TABELA",IF(N184&lt;-Resumo!$B$4,"ABAIXO DA TABELA","OK")))</f>
        <v>OK</v>
      </c>
    </row>
    <row r="185" customFormat="false" ht="15" hidden="false" customHeight="false" outlineLevel="0" collapsed="false">
      <c r="A185" s="14" t="s">
        <v>424</v>
      </c>
      <c r="B185" s="14" t="s">
        <v>425</v>
      </c>
      <c r="C185" s="14" t="s">
        <v>25</v>
      </c>
      <c r="D185" s="15" t="n">
        <v>46108</v>
      </c>
      <c r="E185" s="14" t="n">
        <f aca="false">MONTH(D185)</f>
        <v>3</v>
      </c>
      <c r="F185" s="14" t="s">
        <v>79</v>
      </c>
      <c r="G185" s="14" t="s">
        <v>50</v>
      </c>
      <c r="H185" s="14" t="s">
        <v>46</v>
      </c>
      <c r="I185" s="16" t="n">
        <v>1344</v>
      </c>
      <c r="J185" s="17" t="n">
        <v>0.342</v>
      </c>
      <c r="K185" s="18" t="n">
        <v>68.4</v>
      </c>
      <c r="L185" s="18" t="n">
        <v>459.65</v>
      </c>
      <c r="M185" s="18" t="n">
        <f aca="false">IF(J185="","",ROUND(MAX(I185*J185,K185),2))</f>
        <v>459.65</v>
      </c>
      <c r="N185" s="18" t="n">
        <f aca="false">IF(M185="","",ROUND(L185-M185,2))</f>
        <v>0</v>
      </c>
      <c r="O185" s="19" t="n">
        <f aca="false">IF(M185="","",N185/M185)</f>
        <v>0</v>
      </c>
      <c r="P185" s="14" t="str">
        <f aca="false">IF(M185="","SEM TARIFA NO CONTRATO",IF(N185&gt;Resumo!$B$4,"ACIMA DA TABELA",IF(N185&lt;-Resumo!$B$4,"ABAIXO DA TABELA","OK")))</f>
        <v>OK</v>
      </c>
    </row>
    <row r="186" customFormat="false" ht="15" hidden="false" customHeight="false" outlineLevel="0" collapsed="false">
      <c r="A186" s="14" t="s">
        <v>426</v>
      </c>
      <c r="B186" s="14" t="s">
        <v>427</v>
      </c>
      <c r="C186" s="14" t="s">
        <v>25</v>
      </c>
      <c r="D186" s="15" t="n">
        <v>46109</v>
      </c>
      <c r="E186" s="14" t="n">
        <f aca="false">MONTH(D186)</f>
        <v>3</v>
      </c>
      <c r="F186" s="14" t="s">
        <v>73</v>
      </c>
      <c r="G186" s="14" t="s">
        <v>50</v>
      </c>
      <c r="H186" s="14" t="s">
        <v>74</v>
      </c>
      <c r="I186" s="16" t="n">
        <v>82.8</v>
      </c>
      <c r="J186" s="17" t="n">
        <v>1.0868</v>
      </c>
      <c r="K186" s="18" t="n">
        <v>124.26</v>
      </c>
      <c r="L186" s="18" t="n">
        <v>124.28</v>
      </c>
      <c r="M186" s="18" t="n">
        <f aca="false">IF(J186="","",ROUND(MAX(I186*J186,K186),2))</f>
        <v>124.26</v>
      </c>
      <c r="N186" s="18" t="n">
        <f aca="false">IF(M186="","",ROUND(L186-M186,2))</f>
        <v>0.02</v>
      </c>
      <c r="O186" s="19" t="n">
        <f aca="false">IF(M186="","",N186/M186)</f>
        <v>0.00016095284081764</v>
      </c>
      <c r="P186" s="14" t="str">
        <f aca="false">IF(M186="","SEM TARIFA NO CONTRATO",IF(N186&gt;Resumo!$B$4,"ACIMA DA TABELA",IF(N186&lt;-Resumo!$B$4,"ABAIXO DA TABELA","OK")))</f>
        <v>OK</v>
      </c>
    </row>
    <row r="187" customFormat="false" ht="15" hidden="false" customHeight="false" outlineLevel="0" collapsed="false">
      <c r="A187" s="14" t="s">
        <v>428</v>
      </c>
      <c r="B187" s="14" t="s">
        <v>429</v>
      </c>
      <c r="C187" s="14" t="s">
        <v>21</v>
      </c>
      <c r="D187" s="15" t="n">
        <v>46109</v>
      </c>
      <c r="E187" s="14" t="n">
        <f aca="false">MONTH(D187)</f>
        <v>3</v>
      </c>
      <c r="F187" s="14" t="s">
        <v>49</v>
      </c>
      <c r="G187" s="14" t="s">
        <v>50</v>
      </c>
      <c r="H187" s="14" t="s">
        <v>51</v>
      </c>
      <c r="I187" s="16" t="n">
        <v>690.9</v>
      </c>
      <c r="J187" s="17" t="n">
        <v>4.884</v>
      </c>
      <c r="K187" s="18" t="n">
        <v>415.8</v>
      </c>
      <c r="L187" s="18" t="n">
        <v>3374.09</v>
      </c>
      <c r="M187" s="18" t="n">
        <f aca="false">IF(J187="","",ROUND(MAX(I187*J187,K187),2))</f>
        <v>3374.36</v>
      </c>
      <c r="N187" s="18" t="n">
        <f aca="false">IF(M187="","",ROUND(L187-M187,2))</f>
        <v>-0.27</v>
      </c>
      <c r="O187" s="19" t="n">
        <f aca="false">IF(M187="","",N187/M187)</f>
        <v>-8.00151732476677E-005</v>
      </c>
      <c r="P187" s="14" t="str">
        <f aca="false">IF(M187="","SEM TARIFA NO CONTRATO",IF(N187&gt;Resumo!$B$4,"ACIMA DA TABELA",IF(N187&lt;-Resumo!$B$4,"ABAIXO DA TABELA","OK")))</f>
        <v>OK</v>
      </c>
    </row>
    <row r="188" customFormat="false" ht="15" hidden="false" customHeight="false" outlineLevel="0" collapsed="false">
      <c r="A188" s="14" t="s">
        <v>430</v>
      </c>
      <c r="B188" s="14" t="s">
        <v>431</v>
      </c>
      <c r="C188" s="14" t="s">
        <v>24</v>
      </c>
      <c r="D188" s="15" t="n">
        <v>46109</v>
      </c>
      <c r="E188" s="14" t="n">
        <f aca="false">MONTH(D188)</f>
        <v>3</v>
      </c>
      <c r="F188" s="14" t="s">
        <v>73</v>
      </c>
      <c r="G188" s="14" t="s">
        <v>50</v>
      </c>
      <c r="H188" s="14" t="s">
        <v>74</v>
      </c>
      <c r="I188" s="16" t="n">
        <v>144.6</v>
      </c>
      <c r="J188" s="17" t="n">
        <v>1.144</v>
      </c>
      <c r="K188" s="18" t="n">
        <v>130.8</v>
      </c>
      <c r="L188" s="18" t="n">
        <v>165.17</v>
      </c>
      <c r="M188" s="18" t="n">
        <f aca="false">IF(J188="","",ROUND(MAX(I188*J188,K188),2))</f>
        <v>165.42</v>
      </c>
      <c r="N188" s="18" t="n">
        <f aca="false">IF(M188="","",ROUND(L188-M188,2))</f>
        <v>-0.25</v>
      </c>
      <c r="O188" s="19" t="n">
        <f aca="false">IF(M188="","",N188/M188)</f>
        <v>-0.00151130455809455</v>
      </c>
      <c r="P188" s="14" t="str">
        <f aca="false">IF(M188="","SEM TARIFA NO CONTRATO",IF(N188&gt;Resumo!$B$4,"ACIMA DA TABELA",IF(N188&lt;-Resumo!$B$4,"ABAIXO DA TABELA","OK")))</f>
        <v>OK</v>
      </c>
    </row>
    <row r="189" customFormat="false" ht="15" hidden="false" customHeight="false" outlineLevel="0" collapsed="false">
      <c r="A189" s="14" t="s">
        <v>432</v>
      </c>
      <c r="B189" s="14" t="s">
        <v>433</v>
      </c>
      <c r="C189" s="14" t="s">
        <v>24</v>
      </c>
      <c r="D189" s="15" t="n">
        <v>46109</v>
      </c>
      <c r="E189" s="14" t="n">
        <f aca="false">MONTH(D189)</f>
        <v>3</v>
      </c>
      <c r="F189" s="14" t="s">
        <v>67</v>
      </c>
      <c r="G189" s="14" t="s">
        <v>50</v>
      </c>
      <c r="H189" s="14" t="s">
        <v>68</v>
      </c>
      <c r="I189" s="16" t="n">
        <v>695.4</v>
      </c>
      <c r="J189" s="17" t="n">
        <v>1.96</v>
      </c>
      <c r="K189" s="18" t="n">
        <v>192</v>
      </c>
      <c r="L189" s="18" t="n">
        <v>1362.8</v>
      </c>
      <c r="M189" s="18" t="n">
        <f aca="false">IF(J189="","",ROUND(MAX(I189*J189,K189),2))</f>
        <v>1362.98</v>
      </c>
      <c r="N189" s="18" t="n">
        <f aca="false">IF(M189="","",ROUND(L189-M189,2))</f>
        <v>-0.18</v>
      </c>
      <c r="O189" s="19" t="n">
        <f aca="false">IF(M189="","",N189/M189)</f>
        <v>-0.000132063566596722</v>
      </c>
      <c r="P189" s="14" t="str">
        <f aca="false">IF(M189="","SEM TARIFA NO CONTRATO",IF(N189&gt;Resumo!$B$4,"ACIMA DA TABELA",IF(N189&lt;-Resumo!$B$4,"ABAIXO DA TABELA","OK")))</f>
        <v>OK</v>
      </c>
    </row>
    <row r="190" customFormat="false" ht="15" hidden="false" customHeight="false" outlineLevel="0" collapsed="false">
      <c r="A190" s="14" t="s">
        <v>434</v>
      </c>
      <c r="B190" s="14" t="s">
        <v>435</v>
      </c>
      <c r="C190" s="14" t="s">
        <v>25</v>
      </c>
      <c r="D190" s="15" t="n">
        <v>46109</v>
      </c>
      <c r="E190" s="14" t="n">
        <f aca="false">MONTH(D190)</f>
        <v>3</v>
      </c>
      <c r="F190" s="14" t="s">
        <v>56</v>
      </c>
      <c r="G190" s="14" t="s">
        <v>50</v>
      </c>
      <c r="H190" s="14" t="s">
        <v>45</v>
      </c>
      <c r="I190" s="16" t="n">
        <v>94.4</v>
      </c>
      <c r="J190" s="17" t="n">
        <v>0.8132</v>
      </c>
      <c r="K190" s="18" t="n">
        <v>103.74</v>
      </c>
      <c r="L190" s="18" t="n">
        <v>103.69</v>
      </c>
      <c r="M190" s="18" t="n">
        <f aca="false">IF(J190="","",ROUND(MAX(I190*J190,K190),2))</f>
        <v>103.74</v>
      </c>
      <c r="N190" s="18" t="n">
        <f aca="false">IF(M190="","",ROUND(L190-M190,2))</f>
        <v>-0.05</v>
      </c>
      <c r="O190" s="19" t="n">
        <f aca="false">IF(M190="","",N190/M190)</f>
        <v>-0.000481974166184693</v>
      </c>
      <c r="P190" s="14" t="str">
        <f aca="false">IF(M190="","SEM TARIFA NO CONTRATO",IF(N190&gt;Resumo!$B$4,"ACIMA DA TABELA",IF(N190&lt;-Resumo!$B$4,"ABAIXO DA TABELA","OK")))</f>
        <v>OK</v>
      </c>
    </row>
    <row r="191" customFormat="false" ht="15" hidden="false" customHeight="false" outlineLevel="0" collapsed="false">
      <c r="A191" s="14" t="s">
        <v>436</v>
      </c>
      <c r="B191" s="14" t="s">
        <v>437</v>
      </c>
      <c r="C191" s="14" t="s">
        <v>21</v>
      </c>
      <c r="D191" s="15" t="n">
        <v>46110</v>
      </c>
      <c r="E191" s="14" t="n">
        <f aca="false">MONTH(D191)</f>
        <v>3</v>
      </c>
      <c r="F191" s="14" t="s">
        <v>73</v>
      </c>
      <c r="G191" s="14" t="s">
        <v>50</v>
      </c>
      <c r="H191" s="14" t="s">
        <v>74</v>
      </c>
      <c r="I191" s="16" t="n">
        <v>136.4</v>
      </c>
      <c r="J191" s="17" t="n">
        <v>1.2584</v>
      </c>
      <c r="K191" s="18" t="n">
        <v>143.88</v>
      </c>
      <c r="L191" s="18" t="n">
        <v>171.55</v>
      </c>
      <c r="M191" s="18" t="n">
        <f aca="false">IF(J191="","",ROUND(MAX(I191*J191,K191),2))</f>
        <v>171.65</v>
      </c>
      <c r="N191" s="18" t="n">
        <f aca="false">IF(M191="","",ROUND(L191-M191,2))</f>
        <v>-0.1</v>
      </c>
      <c r="O191" s="19" t="n">
        <f aca="false">IF(M191="","",N191/M191)</f>
        <v>-0.000582580833090591</v>
      </c>
      <c r="P191" s="14" t="str">
        <f aca="false">IF(M191="","SEM TARIFA NO CONTRATO",IF(N191&gt;Resumo!$B$4,"ACIMA DA TABELA",IF(N191&lt;-Resumo!$B$4,"ABAIXO DA TABELA","OK")))</f>
        <v>OK</v>
      </c>
    </row>
    <row r="192" customFormat="false" ht="15" hidden="false" customHeight="false" outlineLevel="0" collapsed="false">
      <c r="A192" s="14" t="s">
        <v>438</v>
      </c>
      <c r="B192" s="14" t="s">
        <v>439</v>
      </c>
      <c r="C192" s="14" t="s">
        <v>24</v>
      </c>
      <c r="D192" s="15" t="n">
        <v>46110</v>
      </c>
      <c r="E192" s="14" t="n">
        <f aca="false">MONTH(D192)</f>
        <v>3</v>
      </c>
      <c r="F192" s="14" t="s">
        <v>73</v>
      </c>
      <c r="G192" s="14" t="s">
        <v>50</v>
      </c>
      <c r="H192" s="14" t="s">
        <v>74</v>
      </c>
      <c r="I192" s="16" t="n">
        <v>1666.2</v>
      </c>
      <c r="J192" s="17" t="n">
        <v>1.144</v>
      </c>
      <c r="K192" s="18" t="n">
        <v>130.8</v>
      </c>
      <c r="L192" s="18" t="n">
        <v>1906.4</v>
      </c>
      <c r="M192" s="18" t="n">
        <f aca="false">IF(J192="","",ROUND(MAX(I192*J192,K192),2))</f>
        <v>1906.13</v>
      </c>
      <c r="N192" s="18" t="n">
        <f aca="false">IF(M192="","",ROUND(L192-M192,2))</f>
        <v>0.27</v>
      </c>
      <c r="O192" s="19" t="n">
        <f aca="false">IF(M192="","",N192/M192)</f>
        <v>0.000141648261136439</v>
      </c>
      <c r="P192" s="14" t="str">
        <f aca="false">IF(M192="","SEM TARIFA NO CONTRATO",IF(N192&gt;Resumo!$B$4,"ACIMA DA TABELA",IF(N192&lt;-Resumo!$B$4,"ABAIXO DA TABELA","OK")))</f>
        <v>OK</v>
      </c>
    </row>
    <row r="193" customFormat="false" ht="15" hidden="false" customHeight="false" outlineLevel="0" collapsed="false">
      <c r="A193" s="14" t="s">
        <v>440</v>
      </c>
      <c r="B193" s="14" t="s">
        <v>441</v>
      </c>
      <c r="C193" s="14" t="s">
        <v>24</v>
      </c>
      <c r="D193" s="15" t="n">
        <v>46110</v>
      </c>
      <c r="E193" s="14" t="n">
        <f aca="false">MONTH(D193)</f>
        <v>3</v>
      </c>
      <c r="F193" s="14" t="s">
        <v>61</v>
      </c>
      <c r="G193" s="14" t="s">
        <v>50</v>
      </c>
      <c r="H193" s="14" t="s">
        <v>62</v>
      </c>
      <c r="I193" s="16" t="n">
        <v>40.1</v>
      </c>
      <c r="J193" s="17" t="n">
        <v>1</v>
      </c>
      <c r="K193" s="18" t="n">
        <v>120</v>
      </c>
      <c r="L193" s="18" t="n">
        <v>120.36</v>
      </c>
      <c r="M193" s="18" t="n">
        <f aca="false">IF(J193="","",ROUND(MAX(I193*J193,K193),2))</f>
        <v>120</v>
      </c>
      <c r="N193" s="18" t="n">
        <f aca="false">IF(M193="","",ROUND(L193-M193,2))</f>
        <v>0.36</v>
      </c>
      <c r="O193" s="19" t="n">
        <f aca="false">IF(M193="","",N193/M193)</f>
        <v>0.003</v>
      </c>
      <c r="P193" s="14" t="str">
        <f aca="false">IF(M193="","SEM TARIFA NO CONTRATO",IF(N193&gt;Resumo!$B$4,"ACIMA DA TABELA",IF(N193&lt;-Resumo!$B$4,"ABAIXO DA TABELA","OK")))</f>
        <v>OK</v>
      </c>
    </row>
    <row r="194" customFormat="false" ht="15" hidden="false" customHeight="false" outlineLevel="0" collapsed="false">
      <c r="A194" s="14" t="s">
        <v>442</v>
      </c>
      <c r="B194" s="14" t="s">
        <v>443</v>
      </c>
      <c r="C194" s="14" t="s">
        <v>24</v>
      </c>
      <c r="D194" s="15" t="n">
        <v>46111</v>
      </c>
      <c r="E194" s="14" t="n">
        <f aca="false">MONTH(D194)</f>
        <v>3</v>
      </c>
      <c r="F194" s="14" t="s">
        <v>61</v>
      </c>
      <c r="G194" s="14" t="s">
        <v>50</v>
      </c>
      <c r="H194" s="14" t="s">
        <v>62</v>
      </c>
      <c r="I194" s="16" t="n">
        <v>576.8</v>
      </c>
      <c r="J194" s="17" t="n">
        <v>1</v>
      </c>
      <c r="K194" s="18" t="n">
        <v>120</v>
      </c>
      <c r="L194" s="18" t="n">
        <v>576.6</v>
      </c>
      <c r="M194" s="18" t="n">
        <f aca="false">IF(J194="","",ROUND(MAX(I194*J194,K194),2))</f>
        <v>576.8</v>
      </c>
      <c r="N194" s="18" t="n">
        <f aca="false">IF(M194="","",ROUND(L194-M194,2))</f>
        <v>-0.2</v>
      </c>
      <c r="O194" s="19" t="n">
        <f aca="false">IF(M194="","",N194/M194)</f>
        <v>-0.000346740638002774</v>
      </c>
      <c r="P194" s="14" t="str">
        <f aca="false">IF(M194="","SEM TARIFA NO CONTRATO",IF(N194&gt;Resumo!$B$4,"ACIMA DA TABELA",IF(N194&lt;-Resumo!$B$4,"ABAIXO DA TABELA","OK")))</f>
        <v>OK</v>
      </c>
    </row>
    <row r="195" customFormat="false" ht="15" hidden="false" customHeight="false" outlineLevel="0" collapsed="false">
      <c r="A195" s="14" t="s">
        <v>444</v>
      </c>
      <c r="B195" s="14" t="s">
        <v>445</v>
      </c>
      <c r="C195" s="14" t="s">
        <v>24</v>
      </c>
      <c r="D195" s="15" t="n">
        <v>46112</v>
      </c>
      <c r="E195" s="14" t="n">
        <f aca="false">MONTH(D195)</f>
        <v>3</v>
      </c>
      <c r="F195" s="14" t="s">
        <v>79</v>
      </c>
      <c r="G195" s="14" t="s">
        <v>50</v>
      </c>
      <c r="H195" s="14" t="s">
        <v>46</v>
      </c>
      <c r="I195" s="16" t="n">
        <v>432.4</v>
      </c>
      <c r="J195" s="17" t="n">
        <v>0.36</v>
      </c>
      <c r="K195" s="18" t="n">
        <v>72</v>
      </c>
      <c r="L195" s="18" t="n">
        <v>156</v>
      </c>
      <c r="M195" s="18" t="n">
        <f aca="false">IF(J195="","",ROUND(MAX(I195*J195,K195),2))</f>
        <v>155.66</v>
      </c>
      <c r="N195" s="18" t="n">
        <f aca="false">IF(M195="","",ROUND(L195-M195,2))</f>
        <v>0.34</v>
      </c>
      <c r="O195" s="19" t="n">
        <f aca="false">IF(M195="","",N195/M195)</f>
        <v>0.00218424771938841</v>
      </c>
      <c r="P195" s="14" t="str">
        <f aca="false">IF(M195="","SEM TARIFA NO CONTRATO",IF(N195&gt;Resumo!$B$4,"ACIMA DA TABELA",IF(N195&lt;-Resumo!$B$4,"ABAIXO DA TABELA","OK")))</f>
        <v>OK</v>
      </c>
    </row>
    <row r="196" customFormat="false" ht="15" hidden="false" customHeight="false" outlineLevel="0" collapsed="false">
      <c r="A196" s="14" t="s">
        <v>446</v>
      </c>
      <c r="B196" s="14" t="s">
        <v>447</v>
      </c>
      <c r="C196" s="14" t="s">
        <v>22</v>
      </c>
      <c r="D196" s="15" t="n">
        <v>46112</v>
      </c>
      <c r="E196" s="14" t="n">
        <f aca="false">MONTH(D196)</f>
        <v>3</v>
      </c>
      <c r="F196" s="14" t="s">
        <v>104</v>
      </c>
      <c r="G196" s="14" t="s">
        <v>45</v>
      </c>
      <c r="H196" s="14" t="s">
        <v>68</v>
      </c>
      <c r="I196" s="16" t="n">
        <v>1240.3</v>
      </c>
      <c r="J196" s="17" t="n">
        <v>1.386</v>
      </c>
      <c r="K196" s="18" t="n">
        <v>151.2</v>
      </c>
      <c r="L196" s="18" t="n">
        <v>1718.75</v>
      </c>
      <c r="M196" s="18" t="n">
        <f aca="false">IF(J196="","",ROUND(MAX(I196*J196,K196),2))</f>
        <v>1719.06</v>
      </c>
      <c r="N196" s="18" t="n">
        <f aca="false">IF(M196="","",ROUND(L196-M196,2))</f>
        <v>-0.31</v>
      </c>
      <c r="O196" s="19" t="n">
        <f aca="false">IF(M196="","",N196/M196)</f>
        <v>-0.000180331111188673</v>
      </c>
      <c r="P196" s="14" t="str">
        <f aca="false">IF(M196="","SEM TARIFA NO CONTRATO",IF(N196&gt;Resumo!$B$4,"ACIMA DA TABELA",IF(N196&lt;-Resumo!$B$4,"ABAIXO DA TABELA","OK")))</f>
        <v>OK</v>
      </c>
    </row>
    <row r="197" customFormat="false" ht="15" hidden="false" customHeight="false" outlineLevel="0" collapsed="false">
      <c r="A197" s="14" t="s">
        <v>448</v>
      </c>
      <c r="B197" s="14" t="s">
        <v>449</v>
      </c>
      <c r="C197" s="14" t="s">
        <v>22</v>
      </c>
      <c r="D197" s="15" t="n">
        <v>46112</v>
      </c>
      <c r="E197" s="14" t="n">
        <f aca="false">MONTH(D197)</f>
        <v>3</v>
      </c>
      <c r="F197" s="14" t="s">
        <v>73</v>
      </c>
      <c r="G197" s="14" t="s">
        <v>50</v>
      </c>
      <c r="H197" s="14" t="s">
        <v>74</v>
      </c>
      <c r="I197" s="16" t="n">
        <v>225.7</v>
      </c>
      <c r="J197" s="17" t="n">
        <v>1.2012</v>
      </c>
      <c r="K197" s="18" t="n">
        <v>137.34</v>
      </c>
      <c r="L197" s="18" t="n">
        <v>318.23</v>
      </c>
      <c r="M197" s="18" t="n">
        <f aca="false">IF(J197="","",ROUND(MAX(I197*J197,K197),2))</f>
        <v>271.11</v>
      </c>
      <c r="N197" s="18" t="n">
        <f aca="false">IF(M197="","",ROUND(L197-M197,2))</f>
        <v>47.12</v>
      </c>
      <c r="O197" s="19" t="n">
        <f aca="false">IF(M197="","",N197/M197)</f>
        <v>0.173803990999963</v>
      </c>
      <c r="P197" s="14" t="str">
        <f aca="false">IF(M197="","SEM TARIFA NO CONTRATO",IF(N197&gt;Resumo!$B$4,"ACIMA DA TABELA",IF(N197&lt;-Resumo!$B$4,"ABAIXO DA TABELA","OK")))</f>
        <v>ACIMA DA TABELA</v>
      </c>
    </row>
    <row r="198" customFormat="false" ht="15" hidden="false" customHeight="false" outlineLevel="0" collapsed="false">
      <c r="A198" s="14" t="s">
        <v>450</v>
      </c>
      <c r="B198" s="14" t="s">
        <v>451</v>
      </c>
      <c r="C198" s="14" t="s">
        <v>25</v>
      </c>
      <c r="D198" s="15" t="n">
        <v>46112</v>
      </c>
      <c r="E198" s="14" t="n">
        <f aca="false">MONTH(D198)</f>
        <v>3</v>
      </c>
      <c r="F198" s="14" t="s">
        <v>104</v>
      </c>
      <c r="G198" s="14" t="s">
        <v>45</v>
      </c>
      <c r="H198" s="14" t="s">
        <v>68</v>
      </c>
      <c r="I198" s="16" t="n">
        <v>146.1</v>
      </c>
      <c r="J198" s="17" t="n">
        <v>1.254</v>
      </c>
      <c r="K198" s="18" t="n">
        <v>136.8</v>
      </c>
      <c r="L198" s="18" t="n">
        <v>183.17</v>
      </c>
      <c r="M198" s="18" t="n">
        <f aca="false">IF(J198="","",ROUND(MAX(I198*J198,K198),2))</f>
        <v>183.21</v>
      </c>
      <c r="N198" s="18" t="n">
        <f aca="false">IF(M198="","",ROUND(L198-M198,2))</f>
        <v>-0.04</v>
      </c>
      <c r="O198" s="19" t="n">
        <f aca="false">IF(M198="","",N198/M198)</f>
        <v>-0.000218328693848589</v>
      </c>
      <c r="P198" s="14" t="str">
        <f aca="false">IF(M198="","SEM TARIFA NO CONTRATO",IF(N198&gt;Resumo!$B$4,"ACIMA DA TABELA",IF(N198&lt;-Resumo!$B$4,"ABAIXO DA TABELA","OK")))</f>
        <v>OK</v>
      </c>
    </row>
    <row r="199" customFormat="false" ht="15" hidden="false" customHeight="false" outlineLevel="0" collapsed="false">
      <c r="A199" s="14" t="s">
        <v>452</v>
      </c>
      <c r="B199" s="14" t="s">
        <v>453</v>
      </c>
      <c r="C199" s="14" t="s">
        <v>21</v>
      </c>
      <c r="D199" s="15" t="n">
        <v>46112</v>
      </c>
      <c r="E199" s="14" t="n">
        <f aca="false">MONTH(D199)</f>
        <v>3</v>
      </c>
      <c r="F199" s="14" t="s">
        <v>88</v>
      </c>
      <c r="G199" s="14" t="s">
        <v>50</v>
      </c>
      <c r="H199" s="14" t="s">
        <v>89</v>
      </c>
      <c r="I199" s="16" t="n">
        <v>1386.6</v>
      </c>
      <c r="J199" s="17" t="n">
        <v>1.8568</v>
      </c>
      <c r="K199" s="18" t="n">
        <v>188.76</v>
      </c>
      <c r="L199" s="18" t="n">
        <v>2574.5</v>
      </c>
      <c r="M199" s="18" t="n">
        <f aca="false">IF(J199="","",ROUND(MAX(I199*J199,K199),2))</f>
        <v>2574.64</v>
      </c>
      <c r="N199" s="18" t="n">
        <f aca="false">IF(M199="","",ROUND(L199-M199,2))</f>
        <v>-0.14</v>
      </c>
      <c r="O199" s="19" t="n">
        <f aca="false">IF(M199="","",N199/M199)</f>
        <v>-5.43765341950719E-005</v>
      </c>
      <c r="P199" s="14" t="str">
        <f aca="false">IF(M199="","SEM TARIFA NO CONTRATO",IF(N199&gt;Resumo!$B$4,"ACIMA DA TABELA",IF(N199&lt;-Resumo!$B$4,"ABAIXO DA TABELA","OK")))</f>
        <v>OK</v>
      </c>
    </row>
    <row r="200" customFormat="false" ht="15" hidden="false" customHeight="false" outlineLevel="0" collapsed="false">
      <c r="A200" s="14" t="s">
        <v>454</v>
      </c>
      <c r="B200" s="14" t="s">
        <v>455</v>
      </c>
      <c r="C200" s="14" t="s">
        <v>21</v>
      </c>
      <c r="D200" s="15" t="n">
        <v>46114</v>
      </c>
      <c r="E200" s="14" t="n">
        <f aca="false">MONTH(D200)</f>
        <v>4</v>
      </c>
      <c r="F200" s="14" t="s">
        <v>88</v>
      </c>
      <c r="G200" s="14" t="s">
        <v>50</v>
      </c>
      <c r="H200" s="14" t="s">
        <v>89</v>
      </c>
      <c r="I200" s="16" t="n">
        <v>502.5</v>
      </c>
      <c r="J200" s="17" t="n">
        <v>1.8568</v>
      </c>
      <c r="K200" s="18" t="n">
        <v>188.76</v>
      </c>
      <c r="L200" s="18" t="n">
        <v>1022.95</v>
      </c>
      <c r="M200" s="18" t="n">
        <f aca="false">IF(J200="","",ROUND(MAX(I200*J200,K200),2))</f>
        <v>933.04</v>
      </c>
      <c r="N200" s="18" t="n">
        <f aca="false">IF(M200="","",ROUND(L200-M200,2))</f>
        <v>89.91</v>
      </c>
      <c r="O200" s="19" t="n">
        <f aca="false">IF(M200="","",N200/M200)</f>
        <v>0.0963624281917174</v>
      </c>
      <c r="P200" s="14" t="str">
        <f aca="false">IF(M200="","SEM TARIFA NO CONTRATO",IF(N200&gt;Resumo!$B$4,"ACIMA DA TABELA",IF(N200&lt;-Resumo!$B$4,"ABAIXO DA TABELA","OK")))</f>
        <v>ACIMA DA TABELA</v>
      </c>
    </row>
    <row r="201" customFormat="false" ht="15" hidden="false" customHeight="false" outlineLevel="0" collapsed="false">
      <c r="A201" s="14" t="s">
        <v>456</v>
      </c>
      <c r="B201" s="14" t="s">
        <v>457</v>
      </c>
      <c r="C201" s="14" t="s">
        <v>24</v>
      </c>
      <c r="D201" s="15" t="n">
        <v>46114</v>
      </c>
      <c r="E201" s="14" t="n">
        <f aca="false">MONTH(D201)</f>
        <v>4</v>
      </c>
      <c r="F201" s="14" t="s">
        <v>79</v>
      </c>
      <c r="G201" s="14" t="s">
        <v>50</v>
      </c>
      <c r="H201" s="14" t="s">
        <v>46</v>
      </c>
      <c r="I201" s="16" t="n">
        <v>1377.4</v>
      </c>
      <c r="J201" s="17" t="n">
        <v>0.36</v>
      </c>
      <c r="K201" s="18" t="n">
        <v>72</v>
      </c>
      <c r="L201" s="18" t="n">
        <v>495.92</v>
      </c>
      <c r="M201" s="18" t="n">
        <f aca="false">IF(J201="","",ROUND(MAX(I201*J201,K201),2))</f>
        <v>495.86</v>
      </c>
      <c r="N201" s="18" t="n">
        <f aca="false">IF(M201="","",ROUND(L201-M201,2))</f>
        <v>0.06</v>
      </c>
      <c r="O201" s="19" t="n">
        <f aca="false">IF(M201="","",N201/M201)</f>
        <v>0.000121001895696366</v>
      </c>
      <c r="P201" s="14" t="str">
        <f aca="false">IF(M201="","SEM TARIFA NO CONTRATO",IF(N201&gt;Resumo!$B$4,"ACIMA DA TABELA",IF(N201&lt;-Resumo!$B$4,"ABAIXO DA TABELA","OK")))</f>
        <v>OK</v>
      </c>
    </row>
    <row r="202" customFormat="false" ht="15" hidden="false" customHeight="false" outlineLevel="0" collapsed="false">
      <c r="A202" s="14" t="s">
        <v>458</v>
      </c>
      <c r="B202" s="14" t="s">
        <v>459</v>
      </c>
      <c r="C202" s="14" t="s">
        <v>24</v>
      </c>
      <c r="D202" s="15" t="n">
        <v>46114</v>
      </c>
      <c r="E202" s="14" t="n">
        <f aca="false">MONTH(D202)</f>
        <v>4</v>
      </c>
      <c r="F202" s="14" t="s">
        <v>56</v>
      </c>
      <c r="G202" s="14" t="s">
        <v>50</v>
      </c>
      <c r="H202" s="14" t="s">
        <v>45</v>
      </c>
      <c r="I202" s="16" t="n">
        <v>237.3</v>
      </c>
      <c r="J202" s="17" t="n">
        <v>0.856</v>
      </c>
      <c r="K202" s="18" t="n">
        <v>109.2</v>
      </c>
      <c r="L202" s="18" t="n">
        <v>203.26</v>
      </c>
      <c r="M202" s="18" t="n">
        <f aca="false">IF(J202="","",ROUND(MAX(I202*J202,K202),2))</f>
        <v>203.13</v>
      </c>
      <c r="N202" s="18" t="n">
        <f aca="false">IF(M202="","",ROUND(L202-M202,2))</f>
        <v>0.13</v>
      </c>
      <c r="O202" s="19" t="n">
        <f aca="false">IF(M202="","",N202/M202)</f>
        <v>0.000639984246541624</v>
      </c>
      <c r="P202" s="14" t="str">
        <f aca="false">IF(M202="","SEM TARIFA NO CONTRATO",IF(N202&gt;Resumo!$B$4,"ACIMA DA TABELA",IF(N202&lt;-Resumo!$B$4,"ABAIXO DA TABELA","OK")))</f>
        <v>OK</v>
      </c>
    </row>
    <row r="203" customFormat="false" ht="15" hidden="false" customHeight="false" outlineLevel="0" collapsed="false">
      <c r="A203" s="14" t="s">
        <v>460</v>
      </c>
      <c r="B203" s="14" t="s">
        <v>461</v>
      </c>
      <c r="C203" s="14" t="s">
        <v>24</v>
      </c>
      <c r="D203" s="15" t="n">
        <v>46115</v>
      </c>
      <c r="E203" s="14" t="n">
        <f aca="false">MONTH(D203)</f>
        <v>4</v>
      </c>
      <c r="F203" s="14" t="s">
        <v>67</v>
      </c>
      <c r="G203" s="14" t="s">
        <v>50</v>
      </c>
      <c r="H203" s="14" t="s">
        <v>68</v>
      </c>
      <c r="I203" s="16" t="n">
        <v>919.3</v>
      </c>
      <c r="J203" s="17" t="n">
        <v>1.96</v>
      </c>
      <c r="K203" s="18" t="n">
        <v>192</v>
      </c>
      <c r="L203" s="18" t="n">
        <v>1802.19</v>
      </c>
      <c r="M203" s="18" t="n">
        <f aca="false">IF(J203="","",ROUND(MAX(I203*J203,K203),2))</f>
        <v>1801.83</v>
      </c>
      <c r="N203" s="18" t="n">
        <f aca="false">IF(M203="","",ROUND(L203-M203,2))</f>
        <v>0.36</v>
      </c>
      <c r="O203" s="19" t="n">
        <f aca="false">IF(M203="","",N203/M203)</f>
        <v>0.000199796873178935</v>
      </c>
      <c r="P203" s="14" t="str">
        <f aca="false">IF(M203="","SEM TARIFA NO CONTRATO",IF(N203&gt;Resumo!$B$4,"ACIMA DA TABELA",IF(N203&lt;-Resumo!$B$4,"ABAIXO DA TABELA","OK")))</f>
        <v>OK</v>
      </c>
    </row>
    <row r="204" customFormat="false" ht="15" hidden="false" customHeight="false" outlineLevel="0" collapsed="false">
      <c r="A204" s="14" t="s">
        <v>462</v>
      </c>
      <c r="B204" s="14" t="s">
        <v>463</v>
      </c>
      <c r="C204" s="14" t="s">
        <v>25</v>
      </c>
      <c r="D204" s="15" t="n">
        <v>46115</v>
      </c>
      <c r="E204" s="14" t="n">
        <f aca="false">MONTH(D204)</f>
        <v>4</v>
      </c>
      <c r="F204" s="14" t="s">
        <v>73</v>
      </c>
      <c r="G204" s="14" t="s">
        <v>50</v>
      </c>
      <c r="H204" s="14" t="s">
        <v>74</v>
      </c>
      <c r="I204" s="16" t="n">
        <v>1141.9</v>
      </c>
      <c r="J204" s="17" t="n">
        <v>1.0868</v>
      </c>
      <c r="K204" s="18" t="n">
        <v>124.26</v>
      </c>
      <c r="L204" s="18" t="n">
        <v>1241.12</v>
      </c>
      <c r="M204" s="18" t="n">
        <f aca="false">IF(J204="","",ROUND(MAX(I204*J204,K204),2))</f>
        <v>1241.02</v>
      </c>
      <c r="N204" s="18" t="n">
        <f aca="false">IF(M204="","",ROUND(L204-M204,2))</f>
        <v>0.1</v>
      </c>
      <c r="O204" s="19" t="n">
        <f aca="false">IF(M204="","",N204/M204)</f>
        <v>8.05788786643245E-005</v>
      </c>
      <c r="P204" s="14" t="str">
        <f aca="false">IF(M204="","SEM TARIFA NO CONTRATO",IF(N204&gt;Resumo!$B$4,"ACIMA DA TABELA",IF(N204&lt;-Resumo!$B$4,"ABAIXO DA TABELA","OK")))</f>
        <v>OK</v>
      </c>
    </row>
    <row r="205" customFormat="false" ht="15" hidden="false" customHeight="false" outlineLevel="0" collapsed="false">
      <c r="A205" s="14" t="s">
        <v>464</v>
      </c>
      <c r="B205" s="14" t="s">
        <v>465</v>
      </c>
      <c r="C205" s="14" t="s">
        <v>25</v>
      </c>
      <c r="D205" s="15" t="n">
        <v>46115</v>
      </c>
      <c r="E205" s="14" t="n">
        <f aca="false">MONTH(D205)</f>
        <v>4</v>
      </c>
      <c r="F205" s="14" t="s">
        <v>44</v>
      </c>
      <c r="G205" s="14" t="s">
        <v>45</v>
      </c>
      <c r="H205" s="14" t="s">
        <v>46</v>
      </c>
      <c r="I205" s="16" t="n">
        <v>146.1</v>
      </c>
      <c r="J205" s="17" t="n">
        <v>0.8132</v>
      </c>
      <c r="K205" s="18" t="n">
        <v>103.74</v>
      </c>
      <c r="L205" s="18" t="n">
        <v>118.61</v>
      </c>
      <c r="M205" s="18" t="n">
        <f aca="false">IF(J205="","",ROUND(MAX(I205*J205,K205),2))</f>
        <v>118.81</v>
      </c>
      <c r="N205" s="18" t="n">
        <f aca="false">IF(M205="","",ROUND(L205-M205,2))</f>
        <v>-0.2</v>
      </c>
      <c r="O205" s="19" t="n">
        <f aca="false">IF(M205="","",N205/M205)</f>
        <v>-0.00168335998653312</v>
      </c>
      <c r="P205" s="14" t="str">
        <f aca="false">IF(M205="","SEM TARIFA NO CONTRATO",IF(N205&gt;Resumo!$B$4,"ACIMA DA TABELA",IF(N205&lt;-Resumo!$B$4,"ABAIXO DA TABELA","OK")))</f>
        <v>OK</v>
      </c>
    </row>
    <row r="206" customFormat="false" ht="15" hidden="false" customHeight="false" outlineLevel="0" collapsed="false">
      <c r="A206" s="14" t="s">
        <v>466</v>
      </c>
      <c r="B206" s="14" t="s">
        <v>467</v>
      </c>
      <c r="C206" s="14" t="s">
        <v>25</v>
      </c>
      <c r="D206" s="15" t="n">
        <v>46116</v>
      </c>
      <c r="E206" s="14" t="n">
        <f aca="false">MONTH(D206)</f>
        <v>4</v>
      </c>
      <c r="F206" s="14" t="s">
        <v>73</v>
      </c>
      <c r="G206" s="14" t="s">
        <v>50</v>
      </c>
      <c r="H206" s="14" t="s">
        <v>74</v>
      </c>
      <c r="I206" s="16" t="n">
        <v>182.3</v>
      </c>
      <c r="J206" s="17" t="n">
        <v>1.0868</v>
      </c>
      <c r="K206" s="18" t="n">
        <v>124.26</v>
      </c>
      <c r="L206" s="18" t="n">
        <v>198.09</v>
      </c>
      <c r="M206" s="18" t="n">
        <f aca="false">IF(J206="","",ROUND(MAX(I206*J206,K206),2))</f>
        <v>198.12</v>
      </c>
      <c r="N206" s="18" t="n">
        <f aca="false">IF(M206="","",ROUND(L206-M206,2))</f>
        <v>-0.03</v>
      </c>
      <c r="O206" s="19" t="n">
        <f aca="false">IF(M206="","",N206/M206)</f>
        <v>-0.000151423379769836</v>
      </c>
      <c r="P206" s="14" t="str">
        <f aca="false">IF(M206="","SEM TARIFA NO CONTRATO",IF(N206&gt;Resumo!$B$4,"ACIMA DA TABELA",IF(N206&lt;-Resumo!$B$4,"ABAIXO DA TABELA","OK")))</f>
        <v>OK</v>
      </c>
    </row>
    <row r="207" customFormat="false" ht="15" hidden="false" customHeight="false" outlineLevel="0" collapsed="false">
      <c r="A207" s="14" t="s">
        <v>468</v>
      </c>
      <c r="B207" s="14" t="s">
        <v>469</v>
      </c>
      <c r="C207" s="14" t="s">
        <v>25</v>
      </c>
      <c r="D207" s="15" t="n">
        <v>46117</v>
      </c>
      <c r="E207" s="14" t="n">
        <f aca="false">MONTH(D207)</f>
        <v>4</v>
      </c>
      <c r="F207" s="14" t="s">
        <v>44</v>
      </c>
      <c r="G207" s="14" t="s">
        <v>45</v>
      </c>
      <c r="H207" s="14" t="s">
        <v>46</v>
      </c>
      <c r="I207" s="16" t="n">
        <v>79.7</v>
      </c>
      <c r="J207" s="17" t="n">
        <v>0.8132</v>
      </c>
      <c r="K207" s="18" t="n">
        <v>103.74</v>
      </c>
      <c r="L207" s="18" t="n">
        <v>103.56</v>
      </c>
      <c r="M207" s="18" t="n">
        <f aca="false">IF(J207="","",ROUND(MAX(I207*J207,K207),2))</f>
        <v>103.74</v>
      </c>
      <c r="N207" s="18" t="n">
        <f aca="false">IF(M207="","",ROUND(L207-M207,2))</f>
        <v>-0.18</v>
      </c>
      <c r="O207" s="19" t="n">
        <f aca="false">IF(M207="","",N207/M207)</f>
        <v>-0.00173510699826489</v>
      </c>
      <c r="P207" s="14" t="str">
        <f aca="false">IF(M207="","SEM TARIFA NO CONTRATO",IF(N207&gt;Resumo!$B$4,"ACIMA DA TABELA",IF(N207&lt;-Resumo!$B$4,"ABAIXO DA TABELA","OK")))</f>
        <v>OK</v>
      </c>
    </row>
    <row r="208" customFormat="false" ht="15" hidden="false" customHeight="false" outlineLevel="0" collapsed="false">
      <c r="A208" s="14" t="s">
        <v>470</v>
      </c>
      <c r="B208" s="14" t="s">
        <v>471</v>
      </c>
      <c r="C208" s="14" t="s">
        <v>25</v>
      </c>
      <c r="D208" s="15" t="n">
        <v>46118</v>
      </c>
      <c r="E208" s="14" t="n">
        <f aca="false">MONTH(D208)</f>
        <v>4</v>
      </c>
      <c r="F208" s="14" t="s">
        <v>73</v>
      </c>
      <c r="G208" s="14" t="s">
        <v>50</v>
      </c>
      <c r="H208" s="14" t="s">
        <v>74</v>
      </c>
      <c r="I208" s="16" t="n">
        <v>158.9</v>
      </c>
      <c r="J208" s="17" t="n">
        <v>1.0868</v>
      </c>
      <c r="K208" s="18" t="n">
        <v>124.26</v>
      </c>
      <c r="L208" s="18" t="n">
        <v>172.53</v>
      </c>
      <c r="M208" s="18" t="n">
        <f aca="false">IF(J208="","",ROUND(MAX(I208*J208,K208),2))</f>
        <v>172.69</v>
      </c>
      <c r="N208" s="18" t="n">
        <f aca="false">IF(M208="","",ROUND(L208-M208,2))</f>
        <v>-0.16</v>
      </c>
      <c r="O208" s="19" t="n">
        <f aca="false">IF(M208="","",N208/M208)</f>
        <v>-0.000926515721813655</v>
      </c>
      <c r="P208" s="14" t="str">
        <f aca="false">IF(M208="","SEM TARIFA NO CONTRATO",IF(N208&gt;Resumo!$B$4,"ACIMA DA TABELA",IF(N208&lt;-Resumo!$B$4,"ABAIXO DA TABELA","OK")))</f>
        <v>OK</v>
      </c>
    </row>
    <row r="209" customFormat="false" ht="15" hidden="false" customHeight="false" outlineLevel="0" collapsed="false">
      <c r="A209" s="14" t="s">
        <v>472</v>
      </c>
      <c r="B209" s="14" t="s">
        <v>473</v>
      </c>
      <c r="C209" s="14" t="s">
        <v>24</v>
      </c>
      <c r="D209" s="15" t="n">
        <v>46118</v>
      </c>
      <c r="E209" s="14" t="n">
        <f aca="false">MONTH(D209)</f>
        <v>4</v>
      </c>
      <c r="F209" s="14" t="s">
        <v>61</v>
      </c>
      <c r="G209" s="14" t="s">
        <v>50</v>
      </c>
      <c r="H209" s="14" t="s">
        <v>62</v>
      </c>
      <c r="I209" s="16" t="n">
        <v>263.2</v>
      </c>
      <c r="J209" s="17" t="n">
        <v>1</v>
      </c>
      <c r="K209" s="18" t="n">
        <v>120</v>
      </c>
      <c r="L209" s="18" t="n">
        <v>262.92</v>
      </c>
      <c r="M209" s="18" t="n">
        <f aca="false">IF(J209="","",ROUND(MAX(I209*J209,K209),2))</f>
        <v>263.2</v>
      </c>
      <c r="N209" s="18" t="n">
        <f aca="false">IF(M209="","",ROUND(L209-M209,2))</f>
        <v>-0.28</v>
      </c>
      <c r="O209" s="19" t="n">
        <f aca="false">IF(M209="","",N209/M209)</f>
        <v>-0.00106382978723404</v>
      </c>
      <c r="P209" s="14" t="str">
        <f aca="false">IF(M209="","SEM TARIFA NO CONTRATO",IF(N209&gt;Resumo!$B$4,"ACIMA DA TABELA",IF(N209&lt;-Resumo!$B$4,"ABAIXO DA TABELA","OK")))</f>
        <v>OK</v>
      </c>
    </row>
    <row r="210" customFormat="false" ht="15" hidden="false" customHeight="false" outlineLevel="0" collapsed="false">
      <c r="A210" s="14" t="s">
        <v>474</v>
      </c>
      <c r="B210" s="14" t="s">
        <v>475</v>
      </c>
      <c r="C210" s="14" t="s">
        <v>25</v>
      </c>
      <c r="D210" s="15" t="n">
        <v>46119</v>
      </c>
      <c r="E210" s="14" t="n">
        <f aca="false">MONTH(D210)</f>
        <v>4</v>
      </c>
      <c r="F210" s="14" t="s">
        <v>73</v>
      </c>
      <c r="G210" s="14" t="s">
        <v>50</v>
      </c>
      <c r="H210" s="14" t="s">
        <v>74</v>
      </c>
      <c r="I210" s="16" t="n">
        <v>140.5</v>
      </c>
      <c r="J210" s="17" t="n">
        <v>1.0868</v>
      </c>
      <c r="K210" s="18" t="n">
        <v>124.26</v>
      </c>
      <c r="L210" s="18" t="n">
        <v>152.62</v>
      </c>
      <c r="M210" s="18" t="n">
        <f aca="false">IF(J210="","",ROUND(MAX(I210*J210,K210),2))</f>
        <v>152.7</v>
      </c>
      <c r="N210" s="18" t="n">
        <f aca="false">IF(M210="","",ROUND(L210-M210,2))</f>
        <v>-0.08</v>
      </c>
      <c r="O210" s="19" t="n">
        <f aca="false">IF(M210="","",N210/M210)</f>
        <v>-0.000523903077930583</v>
      </c>
      <c r="P210" s="14" t="str">
        <f aca="false">IF(M210="","SEM TARIFA NO CONTRATO",IF(N210&gt;Resumo!$B$4,"ACIMA DA TABELA",IF(N210&lt;-Resumo!$B$4,"ABAIXO DA TABELA","OK")))</f>
        <v>OK</v>
      </c>
    </row>
    <row r="211" customFormat="false" ht="15" hidden="false" customHeight="false" outlineLevel="0" collapsed="false">
      <c r="A211" s="14" t="s">
        <v>476</v>
      </c>
      <c r="B211" s="14" t="s">
        <v>477</v>
      </c>
      <c r="C211" s="14" t="s">
        <v>23</v>
      </c>
      <c r="D211" s="15" t="n">
        <v>46119</v>
      </c>
      <c r="E211" s="14" t="n">
        <f aca="false">MONTH(D211)</f>
        <v>4</v>
      </c>
      <c r="F211" s="14" t="s">
        <v>49</v>
      </c>
      <c r="G211" s="14" t="s">
        <v>50</v>
      </c>
      <c r="H211" s="14" t="s">
        <v>51</v>
      </c>
      <c r="I211" s="16" t="n">
        <v>291.3</v>
      </c>
      <c r="J211" s="17" t="n">
        <v>4.0848</v>
      </c>
      <c r="K211" s="18" t="n">
        <v>347.76</v>
      </c>
      <c r="L211" s="18" t="n">
        <v>1257.2</v>
      </c>
      <c r="M211" s="18" t="n">
        <f aca="false">IF(J211="","",ROUND(MAX(I211*J211,K211),2))</f>
        <v>1189.9</v>
      </c>
      <c r="N211" s="18" t="n">
        <f aca="false">IF(M211="","",ROUND(L211-M211,2))</f>
        <v>67.3</v>
      </c>
      <c r="O211" s="19" t="n">
        <f aca="false">IF(M211="","",N211/M211)</f>
        <v>0.0565593747373729</v>
      </c>
      <c r="P211" s="14" t="str">
        <f aca="false">IF(M211="","SEM TARIFA NO CONTRATO",IF(N211&gt;Resumo!$B$4,"ACIMA DA TABELA",IF(N211&lt;-Resumo!$B$4,"ABAIXO DA TABELA","OK")))</f>
        <v>ACIMA DA TABELA</v>
      </c>
    </row>
    <row r="212" customFormat="false" ht="15" hidden="false" customHeight="false" outlineLevel="0" collapsed="false">
      <c r="A212" s="14" t="s">
        <v>478</v>
      </c>
      <c r="B212" s="14" t="s">
        <v>479</v>
      </c>
      <c r="C212" s="14" t="s">
        <v>23</v>
      </c>
      <c r="D212" s="15" t="n">
        <v>46119</v>
      </c>
      <c r="E212" s="14" t="n">
        <f aca="false">MONTH(D212)</f>
        <v>4</v>
      </c>
      <c r="F212" s="14" t="s">
        <v>118</v>
      </c>
      <c r="G212" s="14" t="s">
        <v>50</v>
      </c>
      <c r="H212" s="14" t="s">
        <v>119</v>
      </c>
      <c r="I212" s="16" t="n">
        <v>496.8</v>
      </c>
      <c r="J212" s="17" t="n">
        <v>3.0691</v>
      </c>
      <c r="K212" s="18" t="n">
        <v>271.58</v>
      </c>
      <c r="L212" s="18" t="n">
        <v>1524.9</v>
      </c>
      <c r="M212" s="18" t="n">
        <f aca="false">IF(J212="","",ROUND(MAX(I212*J212,K212),2))</f>
        <v>1524.73</v>
      </c>
      <c r="N212" s="18" t="n">
        <f aca="false">IF(M212="","",ROUND(L212-M212,2))</f>
        <v>0.17</v>
      </c>
      <c r="O212" s="19" t="n">
        <f aca="false">IF(M212="","",N212/M212)</f>
        <v>0.000111495149960977</v>
      </c>
      <c r="P212" s="14" t="str">
        <f aca="false">IF(M212="","SEM TARIFA NO CONTRATO",IF(N212&gt;Resumo!$B$4,"ACIMA DA TABELA",IF(N212&lt;-Resumo!$B$4,"ABAIXO DA TABELA","OK")))</f>
        <v>OK</v>
      </c>
    </row>
    <row r="213" customFormat="false" ht="15" hidden="false" customHeight="false" outlineLevel="0" collapsed="false">
      <c r="A213" s="14" t="s">
        <v>480</v>
      </c>
      <c r="B213" s="14" t="s">
        <v>481</v>
      </c>
      <c r="C213" s="14" t="s">
        <v>24</v>
      </c>
      <c r="D213" s="15" t="n">
        <v>46119</v>
      </c>
      <c r="E213" s="14" t="n">
        <f aca="false">MONTH(D213)</f>
        <v>4</v>
      </c>
      <c r="F213" s="14" t="s">
        <v>61</v>
      </c>
      <c r="G213" s="14" t="s">
        <v>50</v>
      </c>
      <c r="H213" s="14" t="s">
        <v>62</v>
      </c>
      <c r="I213" s="16" t="n">
        <v>239.5</v>
      </c>
      <c r="J213" s="17" t="n">
        <v>1</v>
      </c>
      <c r="K213" s="18" t="n">
        <v>120</v>
      </c>
      <c r="L213" s="18" t="n">
        <v>273.35</v>
      </c>
      <c r="M213" s="18" t="n">
        <f aca="false">IF(J213="","",ROUND(MAX(I213*J213,K213),2))</f>
        <v>239.5</v>
      </c>
      <c r="N213" s="18" t="n">
        <f aca="false">IF(M213="","",ROUND(L213-M213,2))</f>
        <v>33.85</v>
      </c>
      <c r="O213" s="19" t="n">
        <f aca="false">IF(M213="","",N213/M213)</f>
        <v>0.14133611691023</v>
      </c>
      <c r="P213" s="14" t="str">
        <f aca="false">IF(M213="","SEM TARIFA NO CONTRATO",IF(N213&gt;Resumo!$B$4,"ACIMA DA TABELA",IF(N213&lt;-Resumo!$B$4,"ABAIXO DA TABELA","OK")))</f>
        <v>ACIMA DA TABELA</v>
      </c>
    </row>
    <row r="214" customFormat="false" ht="15" hidden="false" customHeight="false" outlineLevel="0" collapsed="false">
      <c r="A214" s="14" t="s">
        <v>482</v>
      </c>
      <c r="B214" s="14" t="s">
        <v>483</v>
      </c>
      <c r="C214" s="14" t="s">
        <v>24</v>
      </c>
      <c r="D214" s="15" t="n">
        <v>46120</v>
      </c>
      <c r="E214" s="14" t="n">
        <f aca="false">MONTH(D214)</f>
        <v>4</v>
      </c>
      <c r="F214" s="14" t="s">
        <v>61</v>
      </c>
      <c r="G214" s="14" t="s">
        <v>50</v>
      </c>
      <c r="H214" s="14" t="s">
        <v>62</v>
      </c>
      <c r="I214" s="16" t="n">
        <v>525.9</v>
      </c>
      <c r="J214" s="17" t="n">
        <v>1</v>
      </c>
      <c r="K214" s="18" t="n">
        <v>120</v>
      </c>
      <c r="L214" s="18" t="n">
        <v>525.65</v>
      </c>
      <c r="M214" s="18" t="n">
        <f aca="false">IF(J214="","",ROUND(MAX(I214*J214,K214),2))</f>
        <v>525.9</v>
      </c>
      <c r="N214" s="18" t="n">
        <f aca="false">IF(M214="","",ROUND(L214-M214,2))</f>
        <v>-0.25</v>
      </c>
      <c r="O214" s="19" t="n">
        <f aca="false">IF(M214="","",N214/M214)</f>
        <v>-0.000475375546681879</v>
      </c>
      <c r="P214" s="14" t="str">
        <f aca="false">IF(M214="","SEM TARIFA NO CONTRATO",IF(N214&gt;Resumo!$B$4,"ACIMA DA TABELA",IF(N214&lt;-Resumo!$B$4,"ABAIXO DA TABELA","OK")))</f>
        <v>OK</v>
      </c>
    </row>
    <row r="215" customFormat="false" ht="15" hidden="false" customHeight="false" outlineLevel="0" collapsed="false">
      <c r="A215" s="14" t="s">
        <v>484</v>
      </c>
      <c r="B215" s="14" t="s">
        <v>485</v>
      </c>
      <c r="C215" s="14" t="s">
        <v>21</v>
      </c>
      <c r="D215" s="15" t="n">
        <v>46120</v>
      </c>
      <c r="E215" s="14" t="n">
        <f aca="false">MONTH(D215)</f>
        <v>4</v>
      </c>
      <c r="F215" s="14" t="s">
        <v>49</v>
      </c>
      <c r="G215" s="14" t="s">
        <v>50</v>
      </c>
      <c r="H215" s="14" t="s">
        <v>51</v>
      </c>
      <c r="I215" s="16" t="n">
        <v>458.1</v>
      </c>
      <c r="J215" s="17" t="n">
        <v>4.884</v>
      </c>
      <c r="K215" s="18" t="n">
        <v>415.8</v>
      </c>
      <c r="L215" s="18" t="n">
        <v>2237.51</v>
      </c>
      <c r="M215" s="18" t="n">
        <f aca="false">IF(J215="","",ROUND(MAX(I215*J215,K215),2))</f>
        <v>2237.36</v>
      </c>
      <c r="N215" s="18" t="n">
        <f aca="false">IF(M215="","",ROUND(L215-M215,2))</f>
        <v>0.15</v>
      </c>
      <c r="O215" s="19" t="n">
        <f aca="false">IF(M215="","",N215/M215)</f>
        <v>6.70433010333607E-005</v>
      </c>
      <c r="P215" s="14" t="str">
        <f aca="false">IF(M215="","SEM TARIFA NO CONTRATO",IF(N215&gt;Resumo!$B$4,"ACIMA DA TABELA",IF(N215&lt;-Resumo!$B$4,"ABAIXO DA TABELA","OK")))</f>
        <v>OK</v>
      </c>
    </row>
    <row r="216" customFormat="false" ht="15" hidden="false" customHeight="false" outlineLevel="0" collapsed="false">
      <c r="A216" s="14" t="s">
        <v>486</v>
      </c>
      <c r="B216" s="14" t="s">
        <v>487</v>
      </c>
      <c r="C216" s="14" t="s">
        <v>25</v>
      </c>
      <c r="D216" s="15" t="n">
        <v>46120</v>
      </c>
      <c r="E216" s="14" t="n">
        <f aca="false">MONTH(D216)</f>
        <v>4</v>
      </c>
      <c r="F216" s="14" t="s">
        <v>79</v>
      </c>
      <c r="G216" s="14" t="s">
        <v>50</v>
      </c>
      <c r="H216" s="14" t="s">
        <v>46</v>
      </c>
      <c r="I216" s="16" t="n">
        <v>44.9</v>
      </c>
      <c r="J216" s="17" t="n">
        <v>0.342</v>
      </c>
      <c r="K216" s="18" t="n">
        <v>68.4</v>
      </c>
      <c r="L216" s="18" t="n">
        <v>68.04</v>
      </c>
      <c r="M216" s="18" t="n">
        <f aca="false">IF(J216="","",ROUND(MAX(I216*J216,K216),2))</f>
        <v>68.4</v>
      </c>
      <c r="N216" s="18" t="n">
        <f aca="false">IF(M216="","",ROUND(L216-M216,2))</f>
        <v>-0.36</v>
      </c>
      <c r="O216" s="19" t="n">
        <f aca="false">IF(M216="","",N216/M216)</f>
        <v>-0.00526315789473684</v>
      </c>
      <c r="P216" s="14" t="str">
        <f aca="false">IF(M216="","SEM TARIFA NO CONTRATO",IF(N216&gt;Resumo!$B$4,"ACIMA DA TABELA",IF(N216&lt;-Resumo!$B$4,"ABAIXO DA TABELA","OK")))</f>
        <v>OK</v>
      </c>
    </row>
    <row r="217" customFormat="false" ht="15" hidden="false" customHeight="false" outlineLevel="0" collapsed="false">
      <c r="A217" s="14" t="s">
        <v>488</v>
      </c>
      <c r="B217" s="14" t="s">
        <v>489</v>
      </c>
      <c r="C217" s="14" t="s">
        <v>23</v>
      </c>
      <c r="D217" s="15" t="n">
        <v>46120</v>
      </c>
      <c r="E217" s="14" t="n">
        <f aca="false">MONTH(D217)</f>
        <v>4</v>
      </c>
      <c r="F217" s="14" t="s">
        <v>49</v>
      </c>
      <c r="G217" s="14" t="s">
        <v>50</v>
      </c>
      <c r="H217" s="14" t="s">
        <v>51</v>
      </c>
      <c r="I217" s="16" t="n">
        <v>530.6</v>
      </c>
      <c r="J217" s="17" t="n">
        <v>4.0848</v>
      </c>
      <c r="K217" s="18" t="n">
        <v>347.76</v>
      </c>
      <c r="L217" s="18" t="n">
        <v>2167.44</v>
      </c>
      <c r="M217" s="18" t="n">
        <f aca="false">IF(J217="","",ROUND(MAX(I217*J217,K217),2))</f>
        <v>2167.39</v>
      </c>
      <c r="N217" s="18" t="n">
        <f aca="false">IF(M217="","",ROUND(L217-M217,2))</f>
        <v>0.05</v>
      </c>
      <c r="O217" s="19" t="n">
        <f aca="false">IF(M217="","",N217/M217)</f>
        <v>2.30692215060511E-005</v>
      </c>
      <c r="P217" s="14" t="str">
        <f aca="false">IF(M217="","SEM TARIFA NO CONTRATO",IF(N217&gt;Resumo!$B$4,"ACIMA DA TABELA",IF(N217&lt;-Resumo!$B$4,"ABAIXO DA TABELA","OK")))</f>
        <v>OK</v>
      </c>
    </row>
    <row r="218" customFormat="false" ht="15" hidden="false" customHeight="false" outlineLevel="0" collapsed="false">
      <c r="A218" s="14" t="s">
        <v>490</v>
      </c>
      <c r="B218" s="14" t="s">
        <v>491</v>
      </c>
      <c r="C218" s="14" t="s">
        <v>25</v>
      </c>
      <c r="D218" s="15" t="n">
        <v>46120</v>
      </c>
      <c r="E218" s="14" t="n">
        <f aca="false">MONTH(D218)</f>
        <v>4</v>
      </c>
      <c r="F218" s="14" t="s">
        <v>73</v>
      </c>
      <c r="G218" s="14" t="s">
        <v>50</v>
      </c>
      <c r="H218" s="14" t="s">
        <v>74</v>
      </c>
      <c r="I218" s="16" t="n">
        <v>249.3</v>
      </c>
      <c r="J218" s="17" t="n">
        <v>1.0868</v>
      </c>
      <c r="K218" s="18" t="n">
        <v>124.26</v>
      </c>
      <c r="L218" s="18" t="n">
        <v>270.56</v>
      </c>
      <c r="M218" s="18" t="n">
        <f aca="false">IF(J218="","",ROUND(MAX(I218*J218,K218),2))</f>
        <v>270.94</v>
      </c>
      <c r="N218" s="18" t="n">
        <f aca="false">IF(M218="","",ROUND(L218-M218,2))</f>
        <v>-0.38</v>
      </c>
      <c r="O218" s="19" t="n">
        <f aca="false">IF(M218="","",N218/M218)</f>
        <v>-0.00140252454417952</v>
      </c>
      <c r="P218" s="14" t="str">
        <f aca="false">IF(M218="","SEM TARIFA NO CONTRATO",IF(N218&gt;Resumo!$B$4,"ACIMA DA TABELA",IF(N218&lt;-Resumo!$B$4,"ABAIXO DA TABELA","OK")))</f>
        <v>OK</v>
      </c>
    </row>
    <row r="219" customFormat="false" ht="15" hidden="false" customHeight="false" outlineLevel="0" collapsed="false">
      <c r="A219" s="14" t="s">
        <v>492</v>
      </c>
      <c r="B219" s="14" t="s">
        <v>493</v>
      </c>
      <c r="C219" s="14" t="s">
        <v>24</v>
      </c>
      <c r="D219" s="15" t="n">
        <v>46121</v>
      </c>
      <c r="E219" s="14" t="n">
        <f aca="false">MONTH(D219)</f>
        <v>4</v>
      </c>
      <c r="F219" s="14" t="s">
        <v>56</v>
      </c>
      <c r="G219" s="14" t="s">
        <v>50</v>
      </c>
      <c r="H219" s="14" t="s">
        <v>45</v>
      </c>
      <c r="I219" s="16" t="n">
        <v>116.3</v>
      </c>
      <c r="J219" s="17" t="n">
        <v>0.856</v>
      </c>
      <c r="K219" s="18" t="n">
        <v>109.2</v>
      </c>
      <c r="L219" s="18" t="n">
        <v>109.47</v>
      </c>
      <c r="M219" s="18" t="n">
        <f aca="false">IF(J219="","",ROUND(MAX(I219*J219,K219),2))</f>
        <v>109.2</v>
      </c>
      <c r="N219" s="18" t="n">
        <f aca="false">IF(M219="","",ROUND(L219-M219,2))</f>
        <v>0.27</v>
      </c>
      <c r="O219" s="19" t="n">
        <f aca="false">IF(M219="","",N219/M219)</f>
        <v>0.00247252747252747</v>
      </c>
      <c r="P219" s="14" t="str">
        <f aca="false">IF(M219="","SEM TARIFA NO CONTRATO",IF(N219&gt;Resumo!$B$4,"ACIMA DA TABELA",IF(N219&lt;-Resumo!$B$4,"ABAIXO DA TABELA","OK")))</f>
        <v>OK</v>
      </c>
    </row>
    <row r="220" customFormat="false" ht="15" hidden="false" customHeight="false" outlineLevel="0" collapsed="false">
      <c r="A220" s="14" t="s">
        <v>494</v>
      </c>
      <c r="B220" s="14" t="s">
        <v>495</v>
      </c>
      <c r="C220" s="14" t="s">
        <v>21</v>
      </c>
      <c r="D220" s="15" t="n">
        <v>46122</v>
      </c>
      <c r="E220" s="14" t="n">
        <f aca="false">MONTH(D220)</f>
        <v>4</v>
      </c>
      <c r="F220" s="14" t="s">
        <v>61</v>
      </c>
      <c r="G220" s="14" t="s">
        <v>50</v>
      </c>
      <c r="H220" s="14" t="s">
        <v>62</v>
      </c>
      <c r="I220" s="16" t="n">
        <v>301.2</v>
      </c>
      <c r="J220" s="17" t="n">
        <v>1.1</v>
      </c>
      <c r="K220" s="18" t="n">
        <v>132</v>
      </c>
      <c r="L220" s="18" t="n">
        <v>331.16</v>
      </c>
      <c r="M220" s="18" t="n">
        <f aca="false">IF(J220="","",ROUND(MAX(I220*J220,K220),2))</f>
        <v>331.32</v>
      </c>
      <c r="N220" s="18" t="n">
        <f aca="false">IF(M220="","",ROUND(L220-M220,2))</f>
        <v>-0.16</v>
      </c>
      <c r="O220" s="19" t="n">
        <f aca="false">IF(M220="","",N220/M220)</f>
        <v>-0.000482916817578172</v>
      </c>
      <c r="P220" s="14" t="str">
        <f aca="false">IF(M220="","SEM TARIFA NO CONTRATO",IF(N220&gt;Resumo!$B$4,"ACIMA DA TABELA",IF(N220&lt;-Resumo!$B$4,"ABAIXO DA TABELA","OK")))</f>
        <v>OK</v>
      </c>
    </row>
    <row r="221" customFormat="false" ht="15" hidden="false" customHeight="false" outlineLevel="0" collapsed="false">
      <c r="A221" s="14" t="s">
        <v>496</v>
      </c>
      <c r="B221" s="14" t="s">
        <v>497</v>
      </c>
      <c r="C221" s="14" t="s">
        <v>23</v>
      </c>
      <c r="D221" s="15" t="n">
        <v>46123</v>
      </c>
      <c r="E221" s="14" t="n">
        <f aca="false">MONTH(D221)</f>
        <v>4</v>
      </c>
      <c r="F221" s="14" t="s">
        <v>44</v>
      </c>
      <c r="G221" s="14" t="s">
        <v>45</v>
      </c>
      <c r="H221" s="14" t="s">
        <v>46</v>
      </c>
      <c r="I221" s="16" t="n">
        <v>393.3</v>
      </c>
      <c r="J221" s="17" t="n">
        <v>0.7875</v>
      </c>
      <c r="K221" s="18" t="n">
        <v>100.46</v>
      </c>
      <c r="L221" s="18" t="n">
        <v>309.86</v>
      </c>
      <c r="M221" s="18" t="n">
        <f aca="false">IF(J221="","",ROUND(MAX(I221*J221,K221),2))</f>
        <v>309.72</v>
      </c>
      <c r="N221" s="18" t="n">
        <f aca="false">IF(M221="","",ROUND(L221-M221,2))</f>
        <v>0.14</v>
      </c>
      <c r="O221" s="19" t="n">
        <f aca="false">IF(M221="","",N221/M221)</f>
        <v>0.000452021180421025</v>
      </c>
      <c r="P221" s="14" t="str">
        <f aca="false">IF(M221="","SEM TARIFA NO CONTRATO",IF(N221&gt;Resumo!$B$4,"ACIMA DA TABELA",IF(N221&lt;-Resumo!$B$4,"ABAIXO DA TABELA","OK")))</f>
        <v>OK</v>
      </c>
    </row>
    <row r="222" customFormat="false" ht="15" hidden="false" customHeight="false" outlineLevel="0" collapsed="false">
      <c r="A222" s="14" t="s">
        <v>498</v>
      </c>
      <c r="B222" s="14" t="s">
        <v>499</v>
      </c>
      <c r="C222" s="14" t="s">
        <v>25</v>
      </c>
      <c r="D222" s="15" t="n">
        <v>46123</v>
      </c>
      <c r="E222" s="14" t="n">
        <f aca="false">MONTH(D222)</f>
        <v>4</v>
      </c>
      <c r="F222" s="14" t="s">
        <v>88</v>
      </c>
      <c r="G222" s="14" t="s">
        <v>50</v>
      </c>
      <c r="H222" s="14" t="s">
        <v>89</v>
      </c>
      <c r="I222" s="16" t="n">
        <v>457</v>
      </c>
      <c r="J222" s="17" t="n">
        <v>1.6036</v>
      </c>
      <c r="K222" s="18" t="n">
        <v>163.02</v>
      </c>
      <c r="L222" s="18" t="n">
        <v>732.45</v>
      </c>
      <c r="M222" s="18" t="n">
        <f aca="false">IF(J222="","",ROUND(MAX(I222*J222,K222),2))</f>
        <v>732.85</v>
      </c>
      <c r="N222" s="18" t="n">
        <f aca="false">IF(M222="","",ROUND(L222-M222,2))</f>
        <v>-0.4</v>
      </c>
      <c r="O222" s="19" t="n">
        <f aca="false">IF(M222="","",N222/M222)</f>
        <v>-0.000545814286688954</v>
      </c>
      <c r="P222" s="14" t="str">
        <f aca="false">IF(M222="","SEM TARIFA NO CONTRATO",IF(N222&gt;Resumo!$B$4,"ACIMA DA TABELA",IF(N222&lt;-Resumo!$B$4,"ABAIXO DA TABELA","OK")))</f>
        <v>OK</v>
      </c>
    </row>
    <row r="223" customFormat="false" ht="15" hidden="false" customHeight="false" outlineLevel="0" collapsed="false">
      <c r="A223" s="14" t="s">
        <v>500</v>
      </c>
      <c r="B223" s="14" t="s">
        <v>501</v>
      </c>
      <c r="C223" s="14" t="s">
        <v>21</v>
      </c>
      <c r="D223" s="15" t="n">
        <v>46123</v>
      </c>
      <c r="E223" s="14" t="n">
        <f aca="false">MONTH(D223)</f>
        <v>4</v>
      </c>
      <c r="F223" s="14" t="s">
        <v>118</v>
      </c>
      <c r="G223" s="14" t="s">
        <v>50</v>
      </c>
      <c r="H223" s="14" t="s">
        <v>119</v>
      </c>
      <c r="I223" s="16" t="n">
        <v>1087.4</v>
      </c>
      <c r="J223" s="17" t="n">
        <v>3.6696</v>
      </c>
      <c r="K223" s="18" t="n">
        <v>324.72</v>
      </c>
      <c r="L223" s="18" t="n">
        <v>4745.23</v>
      </c>
      <c r="M223" s="18" t="n">
        <f aca="false">IF(J223="","",ROUND(MAX(I223*J223,K223),2))</f>
        <v>3990.32</v>
      </c>
      <c r="N223" s="18" t="n">
        <f aca="false">IF(M223="","",ROUND(L223-M223,2))</f>
        <v>754.91</v>
      </c>
      <c r="O223" s="19" t="n">
        <f aca="false">IF(M223="","",N223/M223)</f>
        <v>0.189185328494958</v>
      </c>
      <c r="P223" s="14" t="str">
        <f aca="false">IF(M223="","SEM TARIFA NO CONTRATO",IF(N223&gt;Resumo!$B$4,"ACIMA DA TABELA",IF(N223&lt;-Resumo!$B$4,"ABAIXO DA TABELA","OK")))</f>
        <v>ACIMA DA TABELA</v>
      </c>
    </row>
    <row r="224" customFormat="false" ht="15" hidden="false" customHeight="false" outlineLevel="0" collapsed="false">
      <c r="A224" s="14" t="s">
        <v>502</v>
      </c>
      <c r="B224" s="14" t="s">
        <v>503</v>
      </c>
      <c r="C224" s="14" t="s">
        <v>25</v>
      </c>
      <c r="D224" s="15" t="n">
        <v>46123</v>
      </c>
      <c r="E224" s="14" t="n">
        <f aca="false">MONTH(D224)</f>
        <v>4</v>
      </c>
      <c r="F224" s="14" t="s">
        <v>88</v>
      </c>
      <c r="G224" s="14" t="s">
        <v>50</v>
      </c>
      <c r="H224" s="14" t="s">
        <v>89</v>
      </c>
      <c r="I224" s="16" t="n">
        <v>334.8</v>
      </c>
      <c r="J224" s="17" t="n">
        <v>1.6036</v>
      </c>
      <c r="K224" s="18" t="n">
        <v>163.02</v>
      </c>
      <c r="L224" s="18" t="n">
        <v>537.03</v>
      </c>
      <c r="M224" s="18" t="n">
        <f aca="false">IF(J224="","",ROUND(MAX(I224*J224,K224),2))</f>
        <v>536.89</v>
      </c>
      <c r="N224" s="18" t="n">
        <f aca="false">IF(M224="","",ROUND(L224-M224,2))</f>
        <v>0.14</v>
      </c>
      <c r="O224" s="19" t="n">
        <f aca="false">IF(M224="","",N224/M224)</f>
        <v>0.000260761049749483</v>
      </c>
      <c r="P224" s="14" t="str">
        <f aca="false">IF(M224="","SEM TARIFA NO CONTRATO",IF(N224&gt;Resumo!$B$4,"ACIMA DA TABELA",IF(N224&lt;-Resumo!$B$4,"ABAIXO DA TABELA","OK")))</f>
        <v>OK</v>
      </c>
    </row>
    <row r="225" customFormat="false" ht="15" hidden="false" customHeight="false" outlineLevel="0" collapsed="false">
      <c r="A225" s="14" t="s">
        <v>504</v>
      </c>
      <c r="B225" s="14" t="s">
        <v>505</v>
      </c>
      <c r="C225" s="14" t="s">
        <v>23</v>
      </c>
      <c r="D225" s="15" t="n">
        <v>46124</v>
      </c>
      <c r="E225" s="14" t="n">
        <f aca="false">MONTH(D225)</f>
        <v>4</v>
      </c>
      <c r="F225" s="14" t="s">
        <v>44</v>
      </c>
      <c r="G225" s="14" t="s">
        <v>45</v>
      </c>
      <c r="H225" s="14" t="s">
        <v>46</v>
      </c>
      <c r="I225" s="16" t="n">
        <v>382.3</v>
      </c>
      <c r="J225" s="17" t="n">
        <v>0.7875</v>
      </c>
      <c r="K225" s="18" t="n">
        <v>100.46</v>
      </c>
      <c r="L225" s="18" t="n">
        <v>301.18</v>
      </c>
      <c r="M225" s="18" t="n">
        <f aca="false">IF(J225="","",ROUND(MAX(I225*J225,K225),2))</f>
        <v>301.06</v>
      </c>
      <c r="N225" s="18" t="n">
        <f aca="false">IF(M225="","",ROUND(L225-M225,2))</f>
        <v>0.12</v>
      </c>
      <c r="O225" s="19" t="n">
        <f aca="false">IF(M225="","",N225/M225)</f>
        <v>0.000398591642861888</v>
      </c>
      <c r="P225" s="14" t="str">
        <f aca="false">IF(M225="","SEM TARIFA NO CONTRATO",IF(N225&gt;Resumo!$B$4,"ACIMA DA TABELA",IF(N225&lt;-Resumo!$B$4,"ABAIXO DA TABELA","OK")))</f>
        <v>OK</v>
      </c>
    </row>
    <row r="226" customFormat="false" ht="15" hidden="false" customHeight="false" outlineLevel="0" collapsed="false">
      <c r="A226" s="14" t="s">
        <v>506</v>
      </c>
      <c r="B226" s="14" t="s">
        <v>507</v>
      </c>
      <c r="C226" s="14" t="s">
        <v>25</v>
      </c>
      <c r="D226" s="15" t="n">
        <v>46124</v>
      </c>
      <c r="E226" s="14" t="n">
        <f aca="false">MONTH(D226)</f>
        <v>4</v>
      </c>
      <c r="F226" s="14" t="s">
        <v>73</v>
      </c>
      <c r="G226" s="14" t="s">
        <v>50</v>
      </c>
      <c r="H226" s="14" t="s">
        <v>74</v>
      </c>
      <c r="I226" s="16" t="n">
        <v>392.5</v>
      </c>
      <c r="J226" s="17" t="n">
        <v>1.0868</v>
      </c>
      <c r="K226" s="18" t="n">
        <v>124.26</v>
      </c>
      <c r="L226" s="18" t="n">
        <v>426.7</v>
      </c>
      <c r="M226" s="18" t="n">
        <f aca="false">IF(J226="","",ROUND(MAX(I226*J226,K226),2))</f>
        <v>426.57</v>
      </c>
      <c r="N226" s="18" t="n">
        <f aca="false">IF(M226="","",ROUND(L226-M226,2))</f>
        <v>0.13</v>
      </c>
      <c r="O226" s="19" t="n">
        <f aca="false">IF(M226="","",N226/M226)</f>
        <v>0.000304756546405045</v>
      </c>
      <c r="P226" s="14" t="str">
        <f aca="false">IF(M226="","SEM TARIFA NO CONTRATO",IF(N226&gt;Resumo!$B$4,"ACIMA DA TABELA",IF(N226&lt;-Resumo!$B$4,"ABAIXO DA TABELA","OK")))</f>
        <v>OK</v>
      </c>
    </row>
    <row r="227" customFormat="false" ht="15" hidden="false" customHeight="false" outlineLevel="0" collapsed="false">
      <c r="A227" s="14" t="s">
        <v>508</v>
      </c>
      <c r="B227" s="14" t="s">
        <v>509</v>
      </c>
      <c r="C227" s="14" t="s">
        <v>22</v>
      </c>
      <c r="D227" s="15" t="n">
        <v>46124</v>
      </c>
      <c r="E227" s="14" t="n">
        <f aca="false">MONTH(D227)</f>
        <v>4</v>
      </c>
      <c r="F227" s="14" t="s">
        <v>118</v>
      </c>
      <c r="G227" s="14" t="s">
        <v>50</v>
      </c>
      <c r="H227" s="14" t="s">
        <v>119</v>
      </c>
      <c r="I227" s="16" t="n">
        <v>466.9</v>
      </c>
      <c r="J227" s="17" t="n">
        <v>3.5028</v>
      </c>
      <c r="K227" s="18" t="n">
        <v>309.96</v>
      </c>
      <c r="L227" s="18" t="n">
        <v>1635.21</v>
      </c>
      <c r="M227" s="18" t="n">
        <f aca="false">IF(J227="","",ROUND(MAX(I227*J227,K227),2))</f>
        <v>1635.46</v>
      </c>
      <c r="N227" s="18" t="n">
        <f aca="false">IF(M227="","",ROUND(L227-M227,2))</f>
        <v>-0.25</v>
      </c>
      <c r="O227" s="19" t="n">
        <f aca="false">IF(M227="","",N227/M227)</f>
        <v>-0.000152862191676959</v>
      </c>
      <c r="P227" s="14" t="str">
        <f aca="false">IF(M227="","SEM TARIFA NO CONTRATO",IF(N227&gt;Resumo!$B$4,"ACIMA DA TABELA",IF(N227&lt;-Resumo!$B$4,"ABAIXO DA TABELA","OK")))</f>
        <v>OK</v>
      </c>
    </row>
    <row r="228" customFormat="false" ht="15" hidden="false" customHeight="false" outlineLevel="0" collapsed="false">
      <c r="A228" s="14" t="s">
        <v>510</v>
      </c>
      <c r="B228" s="14" t="s">
        <v>511</v>
      </c>
      <c r="C228" s="14" t="s">
        <v>25</v>
      </c>
      <c r="D228" s="15" t="n">
        <v>46125</v>
      </c>
      <c r="E228" s="14" t="n">
        <f aca="false">MONTH(D228)</f>
        <v>4</v>
      </c>
      <c r="F228" s="14" t="s">
        <v>79</v>
      </c>
      <c r="G228" s="14" t="s">
        <v>50</v>
      </c>
      <c r="H228" s="14" t="s">
        <v>46</v>
      </c>
      <c r="I228" s="16" t="n">
        <v>1176.5</v>
      </c>
      <c r="J228" s="17" t="n">
        <v>0.342</v>
      </c>
      <c r="K228" s="18" t="n">
        <v>68.4</v>
      </c>
      <c r="L228" s="18" t="n">
        <v>402.21</v>
      </c>
      <c r="M228" s="18" t="n">
        <f aca="false">IF(J228="","",ROUND(MAX(I228*J228,K228),2))</f>
        <v>402.36</v>
      </c>
      <c r="N228" s="18" t="n">
        <f aca="false">IF(M228="","",ROUND(L228-M228,2))</f>
        <v>-0.15</v>
      </c>
      <c r="O228" s="19" t="n">
        <f aca="false">IF(M228="","",N228/M228)</f>
        <v>-0.000372800477184611</v>
      </c>
      <c r="P228" s="14" t="str">
        <f aca="false">IF(M228="","SEM TARIFA NO CONTRATO",IF(N228&gt;Resumo!$B$4,"ACIMA DA TABELA",IF(N228&lt;-Resumo!$B$4,"ABAIXO DA TABELA","OK")))</f>
        <v>OK</v>
      </c>
    </row>
    <row r="229" customFormat="false" ht="15" hidden="false" customHeight="false" outlineLevel="0" collapsed="false">
      <c r="A229" s="14" t="s">
        <v>512</v>
      </c>
      <c r="B229" s="14" t="s">
        <v>513</v>
      </c>
      <c r="C229" s="14" t="s">
        <v>25</v>
      </c>
      <c r="D229" s="15" t="n">
        <v>46125</v>
      </c>
      <c r="E229" s="14" t="n">
        <f aca="false">MONTH(D229)</f>
        <v>4</v>
      </c>
      <c r="F229" s="14" t="s">
        <v>88</v>
      </c>
      <c r="G229" s="14" t="s">
        <v>50</v>
      </c>
      <c r="H229" s="14" t="s">
        <v>89</v>
      </c>
      <c r="I229" s="16" t="n">
        <v>473.7</v>
      </c>
      <c r="J229" s="17" t="n">
        <v>1.6036</v>
      </c>
      <c r="K229" s="18" t="n">
        <v>163.02</v>
      </c>
      <c r="L229" s="18" t="n">
        <v>759.54</v>
      </c>
      <c r="M229" s="18" t="n">
        <f aca="false">IF(J229="","",ROUND(MAX(I229*J229,K229),2))</f>
        <v>759.63</v>
      </c>
      <c r="N229" s="18" t="n">
        <f aca="false">IF(M229="","",ROUND(L229-M229,2))</f>
        <v>-0.09</v>
      </c>
      <c r="O229" s="19" t="n">
        <f aca="false">IF(M229="","",N229/M229)</f>
        <v>-0.000118478733067414</v>
      </c>
      <c r="P229" s="14" t="str">
        <f aca="false">IF(M229="","SEM TARIFA NO CONTRATO",IF(N229&gt;Resumo!$B$4,"ACIMA DA TABELA",IF(N229&lt;-Resumo!$B$4,"ABAIXO DA TABELA","OK")))</f>
        <v>OK</v>
      </c>
    </row>
    <row r="230" customFormat="false" ht="15" hidden="false" customHeight="false" outlineLevel="0" collapsed="false">
      <c r="A230" s="14" t="s">
        <v>514</v>
      </c>
      <c r="B230" s="14" t="s">
        <v>515</v>
      </c>
      <c r="C230" s="14" t="s">
        <v>25</v>
      </c>
      <c r="D230" s="15" t="n">
        <v>46127</v>
      </c>
      <c r="E230" s="14" t="n">
        <f aca="false">MONTH(D230)</f>
        <v>4</v>
      </c>
      <c r="F230" s="14" t="s">
        <v>79</v>
      </c>
      <c r="G230" s="14" t="s">
        <v>50</v>
      </c>
      <c r="H230" s="14" t="s">
        <v>46</v>
      </c>
      <c r="I230" s="16" t="n">
        <v>325.7</v>
      </c>
      <c r="J230" s="17" t="n">
        <v>0.342</v>
      </c>
      <c r="K230" s="18" t="n">
        <v>68.4</v>
      </c>
      <c r="L230" s="18" t="n">
        <v>111.22</v>
      </c>
      <c r="M230" s="18" t="n">
        <f aca="false">IF(J230="","",ROUND(MAX(I230*J230,K230),2))</f>
        <v>111.39</v>
      </c>
      <c r="N230" s="18" t="n">
        <f aca="false">IF(M230="","",ROUND(L230-M230,2))</f>
        <v>-0.17</v>
      </c>
      <c r="O230" s="19" t="n">
        <f aca="false">IF(M230="","",N230/M230)</f>
        <v>-0.0015261693150193</v>
      </c>
      <c r="P230" s="14" t="str">
        <f aca="false">IF(M230="","SEM TARIFA NO CONTRATO",IF(N230&gt;Resumo!$B$4,"ACIMA DA TABELA",IF(N230&lt;-Resumo!$B$4,"ABAIXO DA TABELA","OK")))</f>
        <v>OK</v>
      </c>
    </row>
    <row r="231" customFormat="false" ht="15" hidden="false" customHeight="false" outlineLevel="0" collapsed="false">
      <c r="A231" s="14" t="s">
        <v>516</v>
      </c>
      <c r="B231" s="14" t="s">
        <v>517</v>
      </c>
      <c r="C231" s="14" t="s">
        <v>22</v>
      </c>
      <c r="D231" s="15" t="n">
        <v>46127</v>
      </c>
      <c r="E231" s="14" t="n">
        <f aca="false">MONTH(D231)</f>
        <v>4</v>
      </c>
      <c r="F231" s="14" t="s">
        <v>67</v>
      </c>
      <c r="G231" s="14" t="s">
        <v>50</v>
      </c>
      <c r="H231" s="14" t="s">
        <v>68</v>
      </c>
      <c r="I231" s="16" t="n">
        <v>350.5</v>
      </c>
      <c r="J231" s="17" t="n">
        <v>2.058</v>
      </c>
      <c r="K231" s="18" t="n">
        <v>201.6</v>
      </c>
      <c r="L231" s="18" t="n">
        <v>721.38</v>
      </c>
      <c r="M231" s="18" t="n">
        <f aca="false">IF(J231="","",ROUND(MAX(I231*J231,K231),2))</f>
        <v>721.33</v>
      </c>
      <c r="N231" s="18" t="n">
        <f aca="false">IF(M231="","",ROUND(L231-M231,2))</f>
        <v>0.05</v>
      </c>
      <c r="O231" s="19" t="n">
        <f aca="false">IF(M231="","",N231/M231)</f>
        <v>6.93164016469577E-005</v>
      </c>
      <c r="P231" s="14" t="str">
        <f aca="false">IF(M231="","SEM TARIFA NO CONTRATO",IF(N231&gt;Resumo!$B$4,"ACIMA DA TABELA",IF(N231&lt;-Resumo!$B$4,"ABAIXO DA TABELA","OK")))</f>
        <v>OK</v>
      </c>
    </row>
    <row r="232" customFormat="false" ht="15" hidden="false" customHeight="false" outlineLevel="0" collapsed="false">
      <c r="A232" s="14" t="s">
        <v>518</v>
      </c>
      <c r="B232" s="14" t="s">
        <v>519</v>
      </c>
      <c r="C232" s="14" t="s">
        <v>24</v>
      </c>
      <c r="D232" s="15" t="n">
        <v>46128</v>
      </c>
      <c r="E232" s="14" t="n">
        <f aca="false">MONTH(D232)</f>
        <v>4</v>
      </c>
      <c r="F232" s="14" t="s">
        <v>61</v>
      </c>
      <c r="G232" s="14" t="s">
        <v>50</v>
      </c>
      <c r="H232" s="14" t="s">
        <v>62</v>
      </c>
      <c r="I232" s="16" t="n">
        <v>155.2</v>
      </c>
      <c r="J232" s="17" t="n">
        <v>1</v>
      </c>
      <c r="K232" s="18" t="n">
        <v>120</v>
      </c>
      <c r="L232" s="18" t="n">
        <v>155.44</v>
      </c>
      <c r="M232" s="18" t="n">
        <f aca="false">IF(J232="","",ROUND(MAX(I232*J232,K232),2))</f>
        <v>155.2</v>
      </c>
      <c r="N232" s="18" t="n">
        <f aca="false">IF(M232="","",ROUND(L232-M232,2))</f>
        <v>0.24</v>
      </c>
      <c r="O232" s="19" t="n">
        <f aca="false">IF(M232="","",N232/M232)</f>
        <v>0.00154639175257732</v>
      </c>
      <c r="P232" s="14" t="str">
        <f aca="false">IF(M232="","SEM TARIFA NO CONTRATO",IF(N232&gt;Resumo!$B$4,"ACIMA DA TABELA",IF(N232&lt;-Resumo!$B$4,"ABAIXO DA TABELA","OK")))</f>
        <v>OK</v>
      </c>
    </row>
    <row r="233" customFormat="false" ht="15" hidden="false" customHeight="false" outlineLevel="0" collapsed="false">
      <c r="A233" s="14" t="s">
        <v>520</v>
      </c>
      <c r="B233" s="14" t="s">
        <v>521</v>
      </c>
      <c r="C233" s="14" t="s">
        <v>21</v>
      </c>
      <c r="D233" s="15" t="n">
        <v>46128</v>
      </c>
      <c r="E233" s="14" t="n">
        <f aca="false">MONTH(D233)</f>
        <v>4</v>
      </c>
      <c r="F233" s="14" t="s">
        <v>88</v>
      </c>
      <c r="G233" s="14" t="s">
        <v>50</v>
      </c>
      <c r="H233" s="14" t="s">
        <v>89</v>
      </c>
      <c r="I233" s="16" t="n">
        <v>269.4</v>
      </c>
      <c r="J233" s="17" t="n">
        <v>1.8568</v>
      </c>
      <c r="K233" s="18" t="n">
        <v>188.76</v>
      </c>
      <c r="L233" s="18" t="n">
        <v>499.84</v>
      </c>
      <c r="M233" s="18" t="n">
        <f aca="false">IF(J233="","",ROUND(MAX(I233*J233,K233),2))</f>
        <v>500.22</v>
      </c>
      <c r="N233" s="18" t="n">
        <f aca="false">IF(M233="","",ROUND(L233-M233,2))</f>
        <v>-0.38</v>
      </c>
      <c r="O233" s="19" t="n">
        <f aca="false">IF(M233="","",N233/M233)</f>
        <v>-0.000759665747071289</v>
      </c>
      <c r="P233" s="14" t="str">
        <f aca="false">IF(M233="","SEM TARIFA NO CONTRATO",IF(N233&gt;Resumo!$B$4,"ACIMA DA TABELA",IF(N233&lt;-Resumo!$B$4,"ABAIXO DA TABELA","OK")))</f>
        <v>OK</v>
      </c>
    </row>
    <row r="234" customFormat="false" ht="15" hidden="false" customHeight="false" outlineLevel="0" collapsed="false">
      <c r="A234" s="14" t="s">
        <v>522</v>
      </c>
      <c r="B234" s="14" t="s">
        <v>523</v>
      </c>
      <c r="C234" s="14" t="s">
        <v>25</v>
      </c>
      <c r="D234" s="15" t="n">
        <v>46128</v>
      </c>
      <c r="E234" s="14" t="n">
        <f aca="false">MONTH(D234)</f>
        <v>4</v>
      </c>
      <c r="F234" s="14" t="s">
        <v>61</v>
      </c>
      <c r="G234" s="14" t="s">
        <v>50</v>
      </c>
      <c r="H234" s="14" t="s">
        <v>62</v>
      </c>
      <c r="I234" s="16" t="n">
        <v>864.3</v>
      </c>
      <c r="J234" s="17" t="n">
        <v>0.95</v>
      </c>
      <c r="K234" s="18" t="n">
        <v>114</v>
      </c>
      <c r="L234" s="18" t="n">
        <v>821.23</v>
      </c>
      <c r="M234" s="18" t="n">
        <f aca="false">IF(J234="","",ROUND(MAX(I234*J234,K234),2))</f>
        <v>821.09</v>
      </c>
      <c r="N234" s="18" t="n">
        <f aca="false">IF(M234="","",ROUND(L234-M234,2))</f>
        <v>0.14</v>
      </c>
      <c r="O234" s="19" t="n">
        <f aca="false">IF(M234="","",N234/M234)</f>
        <v>0.000170505060346612</v>
      </c>
      <c r="P234" s="14" t="str">
        <f aca="false">IF(M234="","SEM TARIFA NO CONTRATO",IF(N234&gt;Resumo!$B$4,"ACIMA DA TABELA",IF(N234&lt;-Resumo!$B$4,"ABAIXO DA TABELA","OK")))</f>
        <v>OK</v>
      </c>
    </row>
    <row r="235" customFormat="false" ht="15" hidden="false" customHeight="false" outlineLevel="0" collapsed="false">
      <c r="A235" s="14" t="s">
        <v>524</v>
      </c>
      <c r="B235" s="14" t="s">
        <v>525</v>
      </c>
      <c r="C235" s="14" t="s">
        <v>22</v>
      </c>
      <c r="D235" s="15" t="n">
        <v>46129</v>
      </c>
      <c r="E235" s="14" t="n">
        <f aca="false">MONTH(D235)</f>
        <v>4</v>
      </c>
      <c r="F235" s="14" t="s">
        <v>49</v>
      </c>
      <c r="G235" s="14" t="s">
        <v>50</v>
      </c>
      <c r="H235" s="14" t="s">
        <v>51</v>
      </c>
      <c r="I235" s="16" t="n">
        <v>1005.7</v>
      </c>
      <c r="J235" s="17" t="n">
        <v>4.662</v>
      </c>
      <c r="K235" s="18" t="n">
        <v>396.9</v>
      </c>
      <c r="L235" s="18" t="n">
        <v>4688.36</v>
      </c>
      <c r="M235" s="18" t="n">
        <f aca="false">IF(J235="","",ROUND(MAX(I235*J235,K235),2))</f>
        <v>4688.57</v>
      </c>
      <c r="N235" s="18" t="n">
        <f aca="false">IF(M235="","",ROUND(L235-M235,2))</f>
        <v>-0.21</v>
      </c>
      <c r="O235" s="19" t="n">
        <f aca="false">IF(M235="","",N235/M235)</f>
        <v>-4.47897759871347E-005</v>
      </c>
      <c r="P235" s="14" t="str">
        <f aca="false">IF(M235="","SEM TARIFA NO CONTRATO",IF(N235&gt;Resumo!$B$4,"ACIMA DA TABELA",IF(N235&lt;-Resumo!$B$4,"ABAIXO DA TABELA","OK")))</f>
        <v>OK</v>
      </c>
    </row>
    <row r="236" customFormat="false" ht="15" hidden="false" customHeight="false" outlineLevel="0" collapsed="false">
      <c r="A236" s="14" t="s">
        <v>526</v>
      </c>
      <c r="B236" s="14" t="s">
        <v>527</v>
      </c>
      <c r="C236" s="14" t="s">
        <v>24</v>
      </c>
      <c r="D236" s="15" t="n">
        <v>46130</v>
      </c>
      <c r="E236" s="14" t="n">
        <f aca="false">MONTH(D236)</f>
        <v>4</v>
      </c>
      <c r="F236" s="14" t="s">
        <v>73</v>
      </c>
      <c r="G236" s="14" t="s">
        <v>50</v>
      </c>
      <c r="H236" s="14" t="s">
        <v>74</v>
      </c>
      <c r="I236" s="16" t="n">
        <v>1146</v>
      </c>
      <c r="J236" s="17" t="n">
        <v>1.144</v>
      </c>
      <c r="K236" s="18" t="n">
        <v>130.8</v>
      </c>
      <c r="L236" s="18" t="n">
        <v>1310.91</v>
      </c>
      <c r="M236" s="18" t="n">
        <f aca="false">IF(J236="","",ROUND(MAX(I236*J236,K236),2))</f>
        <v>1311.02</v>
      </c>
      <c r="N236" s="18" t="n">
        <f aca="false">IF(M236="","",ROUND(L236-M236,2))</f>
        <v>-0.11</v>
      </c>
      <c r="O236" s="19" t="n">
        <f aca="false">IF(M236="","",N236/M236)</f>
        <v>-8.39041357111257E-005</v>
      </c>
      <c r="P236" s="14" t="str">
        <f aca="false">IF(M236="","SEM TARIFA NO CONTRATO",IF(N236&gt;Resumo!$B$4,"ACIMA DA TABELA",IF(N236&lt;-Resumo!$B$4,"ABAIXO DA TABELA","OK")))</f>
        <v>OK</v>
      </c>
    </row>
    <row r="237" customFormat="false" ht="15" hidden="false" customHeight="false" outlineLevel="0" collapsed="false">
      <c r="A237" s="14" t="s">
        <v>528</v>
      </c>
      <c r="B237" s="14" t="s">
        <v>529</v>
      </c>
      <c r="C237" s="14" t="s">
        <v>24</v>
      </c>
      <c r="D237" s="15" t="n">
        <v>46130</v>
      </c>
      <c r="E237" s="14" t="n">
        <f aca="false">MONTH(D237)</f>
        <v>4</v>
      </c>
      <c r="F237" s="14" t="s">
        <v>73</v>
      </c>
      <c r="G237" s="14" t="s">
        <v>50</v>
      </c>
      <c r="H237" s="14" t="s">
        <v>74</v>
      </c>
      <c r="I237" s="16" t="n">
        <v>800.4</v>
      </c>
      <c r="J237" s="17" t="n">
        <v>1.144</v>
      </c>
      <c r="K237" s="18" t="n">
        <v>130.8</v>
      </c>
      <c r="L237" s="18" t="n">
        <v>915.87</v>
      </c>
      <c r="M237" s="18" t="n">
        <f aca="false">IF(J237="","",ROUND(MAX(I237*J237,K237),2))</f>
        <v>915.66</v>
      </c>
      <c r="N237" s="18" t="n">
        <f aca="false">IF(M237="","",ROUND(L237-M237,2))</f>
        <v>0.21</v>
      </c>
      <c r="O237" s="19" t="n">
        <f aca="false">IF(M237="","",N237/M237)</f>
        <v>0.000229342769150121</v>
      </c>
      <c r="P237" s="14" t="str">
        <f aca="false">IF(M237="","SEM TARIFA NO CONTRATO",IF(N237&gt;Resumo!$B$4,"ACIMA DA TABELA",IF(N237&lt;-Resumo!$B$4,"ABAIXO DA TABELA","OK")))</f>
        <v>OK</v>
      </c>
    </row>
    <row r="238" customFormat="false" ht="15" hidden="false" customHeight="false" outlineLevel="0" collapsed="false">
      <c r="A238" s="14" t="s">
        <v>530</v>
      </c>
      <c r="B238" s="14" t="s">
        <v>531</v>
      </c>
      <c r="C238" s="14" t="s">
        <v>24</v>
      </c>
      <c r="D238" s="15" t="n">
        <v>46130</v>
      </c>
      <c r="E238" s="14" t="n">
        <f aca="false">MONTH(D238)</f>
        <v>4</v>
      </c>
      <c r="F238" s="14" t="s">
        <v>56</v>
      </c>
      <c r="G238" s="14" t="s">
        <v>50</v>
      </c>
      <c r="H238" s="14" t="s">
        <v>45</v>
      </c>
      <c r="I238" s="16" t="n">
        <v>297.6</v>
      </c>
      <c r="J238" s="17" t="n">
        <v>0.856</v>
      </c>
      <c r="K238" s="18" t="n">
        <v>109.2</v>
      </c>
      <c r="L238" s="18" t="n">
        <v>254.64</v>
      </c>
      <c r="M238" s="18" t="n">
        <f aca="false">IF(J238="","",ROUND(MAX(I238*J238,K238),2))</f>
        <v>254.75</v>
      </c>
      <c r="N238" s="18" t="n">
        <f aca="false">IF(M238="","",ROUND(L238-M238,2))</f>
        <v>-0.11</v>
      </c>
      <c r="O238" s="19" t="n">
        <f aca="false">IF(M238="","",N238/M238)</f>
        <v>-0.000431795878312071</v>
      </c>
      <c r="P238" s="14" t="str">
        <f aca="false">IF(M238="","SEM TARIFA NO CONTRATO",IF(N238&gt;Resumo!$B$4,"ACIMA DA TABELA",IF(N238&lt;-Resumo!$B$4,"ABAIXO DA TABELA","OK")))</f>
        <v>OK</v>
      </c>
    </row>
    <row r="239" customFormat="false" ht="15" hidden="false" customHeight="false" outlineLevel="0" collapsed="false">
      <c r="A239" s="14" t="s">
        <v>532</v>
      </c>
      <c r="B239" s="14" t="s">
        <v>533</v>
      </c>
      <c r="C239" s="14" t="s">
        <v>25</v>
      </c>
      <c r="D239" s="15" t="n">
        <v>46131</v>
      </c>
      <c r="E239" s="14" t="n">
        <f aca="false">MONTH(D239)</f>
        <v>4</v>
      </c>
      <c r="F239" s="14" t="s">
        <v>56</v>
      </c>
      <c r="G239" s="14" t="s">
        <v>50</v>
      </c>
      <c r="H239" s="14" t="s">
        <v>45</v>
      </c>
      <c r="I239" s="16" t="n">
        <v>364.2</v>
      </c>
      <c r="J239" s="17" t="n">
        <v>0.8132</v>
      </c>
      <c r="K239" s="18" t="n">
        <v>103.74</v>
      </c>
      <c r="L239" s="18" t="n">
        <v>295.99</v>
      </c>
      <c r="M239" s="18" t="n">
        <f aca="false">IF(J239="","",ROUND(MAX(I239*J239,K239),2))</f>
        <v>296.17</v>
      </c>
      <c r="N239" s="18" t="n">
        <f aca="false">IF(M239="","",ROUND(L239-M239,2))</f>
        <v>-0.18</v>
      </c>
      <c r="O239" s="19" t="n">
        <f aca="false">IF(M239="","",N239/M239)</f>
        <v>-0.000607759057298173</v>
      </c>
      <c r="P239" s="14" t="str">
        <f aca="false">IF(M239="","SEM TARIFA NO CONTRATO",IF(N239&gt;Resumo!$B$4,"ACIMA DA TABELA",IF(N239&lt;-Resumo!$B$4,"ABAIXO DA TABELA","OK")))</f>
        <v>OK</v>
      </c>
    </row>
    <row r="240" customFormat="false" ht="15" hidden="false" customHeight="false" outlineLevel="0" collapsed="false">
      <c r="A240" s="14" t="s">
        <v>534</v>
      </c>
      <c r="B240" s="14" t="s">
        <v>535</v>
      </c>
      <c r="C240" s="14" t="s">
        <v>23</v>
      </c>
      <c r="D240" s="15" t="n">
        <v>46131</v>
      </c>
      <c r="E240" s="14" t="n">
        <f aca="false">MONTH(D240)</f>
        <v>4</v>
      </c>
      <c r="F240" s="14" t="s">
        <v>56</v>
      </c>
      <c r="G240" s="14" t="s">
        <v>50</v>
      </c>
      <c r="H240" s="14" t="s">
        <v>45</v>
      </c>
      <c r="I240" s="16" t="n">
        <v>567.6</v>
      </c>
      <c r="J240" s="17" t="n">
        <v>0.7875</v>
      </c>
      <c r="K240" s="18" t="n">
        <v>100.46</v>
      </c>
      <c r="L240" s="18" t="n">
        <v>447.32</v>
      </c>
      <c r="M240" s="18" t="n">
        <f aca="false">IF(J240="","",ROUND(MAX(I240*J240,K240),2))</f>
        <v>446.99</v>
      </c>
      <c r="N240" s="18" t="n">
        <f aca="false">IF(M240="","",ROUND(L240-M240,2))</f>
        <v>0.33</v>
      </c>
      <c r="O240" s="19" t="n">
        <f aca="false">IF(M240="","",N240/M240)</f>
        <v>0.000738271549699098</v>
      </c>
      <c r="P240" s="14" t="str">
        <f aca="false">IF(M240="","SEM TARIFA NO CONTRATO",IF(N240&gt;Resumo!$B$4,"ACIMA DA TABELA",IF(N240&lt;-Resumo!$B$4,"ABAIXO DA TABELA","OK")))</f>
        <v>OK</v>
      </c>
    </row>
    <row r="241" customFormat="false" ht="15" hidden="false" customHeight="false" outlineLevel="0" collapsed="false">
      <c r="A241" s="14" t="s">
        <v>536</v>
      </c>
      <c r="B241" s="14" t="s">
        <v>537</v>
      </c>
      <c r="C241" s="14" t="s">
        <v>24</v>
      </c>
      <c r="D241" s="15" t="n">
        <v>46132</v>
      </c>
      <c r="E241" s="14" t="n">
        <f aca="false">MONTH(D241)</f>
        <v>4</v>
      </c>
      <c r="F241" s="14" t="s">
        <v>56</v>
      </c>
      <c r="G241" s="14" t="s">
        <v>50</v>
      </c>
      <c r="H241" s="14" t="s">
        <v>45</v>
      </c>
      <c r="I241" s="16" t="n">
        <v>181.8</v>
      </c>
      <c r="J241" s="17" t="n">
        <v>0.856</v>
      </c>
      <c r="K241" s="18" t="n">
        <v>109.2</v>
      </c>
      <c r="L241" s="18" t="n">
        <v>155.97</v>
      </c>
      <c r="M241" s="18" t="n">
        <f aca="false">IF(J241="","",ROUND(MAX(I241*J241,K241),2))</f>
        <v>155.62</v>
      </c>
      <c r="N241" s="18" t="n">
        <f aca="false">IF(M241="","",ROUND(L241-M241,2))</f>
        <v>0.35</v>
      </c>
      <c r="O241" s="19" t="n">
        <f aca="false">IF(M241="","",N241/M241)</f>
        <v>0.00224906824315641</v>
      </c>
      <c r="P241" s="14" t="str">
        <f aca="false">IF(M241="","SEM TARIFA NO CONTRATO",IF(N241&gt;Resumo!$B$4,"ACIMA DA TABELA",IF(N241&lt;-Resumo!$B$4,"ABAIXO DA TABELA","OK")))</f>
        <v>OK</v>
      </c>
    </row>
    <row r="242" customFormat="false" ht="15" hidden="false" customHeight="false" outlineLevel="0" collapsed="false">
      <c r="A242" s="14" t="s">
        <v>538</v>
      </c>
      <c r="B242" s="14" t="s">
        <v>539</v>
      </c>
      <c r="C242" s="14" t="s">
        <v>24</v>
      </c>
      <c r="D242" s="15" t="n">
        <v>46132</v>
      </c>
      <c r="E242" s="14" t="n">
        <f aca="false">MONTH(D242)</f>
        <v>4</v>
      </c>
      <c r="F242" s="14" t="s">
        <v>67</v>
      </c>
      <c r="G242" s="14" t="s">
        <v>50</v>
      </c>
      <c r="H242" s="14" t="s">
        <v>68</v>
      </c>
      <c r="I242" s="16" t="n">
        <v>320.9</v>
      </c>
      <c r="J242" s="17" t="n">
        <v>1.96</v>
      </c>
      <c r="K242" s="18" t="n">
        <v>192</v>
      </c>
      <c r="L242" s="18" t="n">
        <v>629.16</v>
      </c>
      <c r="M242" s="18" t="n">
        <f aca="false">IF(J242="","",ROUND(MAX(I242*J242,K242),2))</f>
        <v>628.96</v>
      </c>
      <c r="N242" s="18" t="n">
        <f aca="false">IF(M242="","",ROUND(L242-M242,2))</f>
        <v>0.2</v>
      </c>
      <c r="O242" s="19" t="n">
        <f aca="false">IF(M242="","",N242/M242)</f>
        <v>0.00031798524548461</v>
      </c>
      <c r="P242" s="14" t="str">
        <f aca="false">IF(M242="","SEM TARIFA NO CONTRATO",IF(N242&gt;Resumo!$B$4,"ACIMA DA TABELA",IF(N242&lt;-Resumo!$B$4,"ABAIXO DA TABELA","OK")))</f>
        <v>OK</v>
      </c>
    </row>
    <row r="243" customFormat="false" ht="15" hidden="false" customHeight="false" outlineLevel="0" collapsed="false">
      <c r="A243" s="14" t="s">
        <v>540</v>
      </c>
      <c r="B243" s="14" t="s">
        <v>541</v>
      </c>
      <c r="C243" s="14" t="s">
        <v>21</v>
      </c>
      <c r="D243" s="15" t="n">
        <v>46133</v>
      </c>
      <c r="E243" s="14" t="n">
        <f aca="false">MONTH(D243)</f>
        <v>4</v>
      </c>
      <c r="F243" s="14" t="s">
        <v>49</v>
      </c>
      <c r="G243" s="14" t="s">
        <v>50</v>
      </c>
      <c r="H243" s="14" t="s">
        <v>51</v>
      </c>
      <c r="I243" s="16" t="n">
        <v>187.8</v>
      </c>
      <c r="J243" s="17" t="n">
        <v>4.884</v>
      </c>
      <c r="K243" s="18" t="n">
        <v>415.8</v>
      </c>
      <c r="L243" s="18" t="n">
        <v>917.15</v>
      </c>
      <c r="M243" s="18" t="n">
        <f aca="false">IF(J243="","",ROUND(MAX(I243*J243,K243),2))</f>
        <v>917.22</v>
      </c>
      <c r="N243" s="18" t="n">
        <f aca="false">IF(M243="","",ROUND(L243-M243,2))</f>
        <v>-0.07</v>
      </c>
      <c r="O243" s="19" t="n">
        <f aca="false">IF(M243="","",N243/M243)</f>
        <v>-7.63175683042236E-005</v>
      </c>
      <c r="P243" s="14" t="str">
        <f aca="false">IF(M243="","SEM TARIFA NO CONTRATO",IF(N243&gt;Resumo!$B$4,"ACIMA DA TABELA",IF(N243&lt;-Resumo!$B$4,"ABAIXO DA TABELA","OK")))</f>
        <v>OK</v>
      </c>
    </row>
    <row r="244" customFormat="false" ht="15" hidden="false" customHeight="false" outlineLevel="0" collapsed="false">
      <c r="A244" s="14" t="s">
        <v>542</v>
      </c>
      <c r="B244" s="14" t="s">
        <v>543</v>
      </c>
      <c r="C244" s="14" t="s">
        <v>25</v>
      </c>
      <c r="D244" s="15" t="n">
        <v>46133</v>
      </c>
      <c r="E244" s="14" t="n">
        <f aca="false">MONTH(D244)</f>
        <v>4</v>
      </c>
      <c r="F244" s="14" t="s">
        <v>79</v>
      </c>
      <c r="G244" s="14" t="s">
        <v>50</v>
      </c>
      <c r="H244" s="14" t="s">
        <v>46</v>
      </c>
      <c r="I244" s="16" t="n">
        <v>976.3</v>
      </c>
      <c r="J244" s="17" t="n">
        <v>0.342</v>
      </c>
      <c r="K244" s="18" t="n">
        <v>68.4</v>
      </c>
      <c r="L244" s="18" t="n">
        <v>334.16</v>
      </c>
      <c r="M244" s="18" t="n">
        <f aca="false">IF(J244="","",ROUND(MAX(I244*J244,K244),2))</f>
        <v>333.89</v>
      </c>
      <c r="N244" s="18" t="n">
        <f aca="false">IF(M244="","",ROUND(L244-M244,2))</f>
        <v>0.27</v>
      </c>
      <c r="O244" s="19" t="n">
        <f aca="false">IF(M244="","",N244/M244)</f>
        <v>0.000808649555242745</v>
      </c>
      <c r="P244" s="14" t="str">
        <f aca="false">IF(M244="","SEM TARIFA NO CONTRATO",IF(N244&gt;Resumo!$B$4,"ACIMA DA TABELA",IF(N244&lt;-Resumo!$B$4,"ABAIXO DA TABELA","OK")))</f>
        <v>OK</v>
      </c>
    </row>
    <row r="245" customFormat="false" ht="15" hidden="false" customHeight="false" outlineLevel="0" collapsed="false">
      <c r="A245" s="14" t="s">
        <v>544</v>
      </c>
      <c r="B245" s="14" t="s">
        <v>545</v>
      </c>
      <c r="C245" s="14" t="s">
        <v>21</v>
      </c>
      <c r="D245" s="15" t="n">
        <v>46133</v>
      </c>
      <c r="E245" s="14" t="n">
        <f aca="false">MONTH(D245)</f>
        <v>4</v>
      </c>
      <c r="F245" s="14" t="s">
        <v>61</v>
      </c>
      <c r="G245" s="14" t="s">
        <v>50</v>
      </c>
      <c r="H245" s="14" t="s">
        <v>62</v>
      </c>
      <c r="I245" s="16" t="n">
        <v>1243.4</v>
      </c>
      <c r="J245" s="17" t="n">
        <v>1.1</v>
      </c>
      <c r="K245" s="18" t="n">
        <v>132</v>
      </c>
      <c r="L245" s="18" t="n">
        <v>1367.84</v>
      </c>
      <c r="M245" s="18" t="n">
        <f aca="false">IF(J245="","",ROUND(MAX(I245*J245,K245),2))</f>
        <v>1367.74</v>
      </c>
      <c r="N245" s="18" t="n">
        <f aca="false">IF(M245="","",ROUND(L245-M245,2))</f>
        <v>0.1</v>
      </c>
      <c r="O245" s="19" t="n">
        <f aca="false">IF(M245="","",N245/M245)</f>
        <v>7.31133110094024E-005</v>
      </c>
      <c r="P245" s="14" t="str">
        <f aca="false">IF(M245="","SEM TARIFA NO CONTRATO",IF(N245&gt;Resumo!$B$4,"ACIMA DA TABELA",IF(N245&lt;-Resumo!$B$4,"ABAIXO DA TABELA","OK")))</f>
        <v>OK</v>
      </c>
    </row>
    <row r="246" customFormat="false" ht="15" hidden="false" customHeight="false" outlineLevel="0" collapsed="false">
      <c r="A246" s="14" t="s">
        <v>546</v>
      </c>
      <c r="B246" s="14" t="s">
        <v>547</v>
      </c>
      <c r="C246" s="14" t="s">
        <v>25</v>
      </c>
      <c r="D246" s="15" t="n">
        <v>46134</v>
      </c>
      <c r="E246" s="14" t="n">
        <f aca="false">MONTH(D246)</f>
        <v>4</v>
      </c>
      <c r="F246" s="14" t="s">
        <v>88</v>
      </c>
      <c r="G246" s="14" t="s">
        <v>50</v>
      </c>
      <c r="H246" s="14" t="s">
        <v>89</v>
      </c>
      <c r="I246" s="16" t="n">
        <v>2846.7</v>
      </c>
      <c r="J246" s="17" t="n">
        <v>1.6036</v>
      </c>
      <c r="K246" s="18" t="n">
        <v>163.02</v>
      </c>
      <c r="L246" s="18" t="n">
        <v>4564.68</v>
      </c>
      <c r="M246" s="18" t="n">
        <f aca="false">IF(J246="","",ROUND(MAX(I246*J246,K246),2))</f>
        <v>4564.97</v>
      </c>
      <c r="N246" s="18" t="n">
        <f aca="false">IF(M246="","",ROUND(L246-M246,2))</f>
        <v>-0.29</v>
      </c>
      <c r="O246" s="19" t="n">
        <f aca="false">IF(M246="","",N246/M246)</f>
        <v>-6.35272520958517E-005</v>
      </c>
      <c r="P246" s="14" t="str">
        <f aca="false">IF(M246="","SEM TARIFA NO CONTRATO",IF(N246&gt;Resumo!$B$4,"ACIMA DA TABELA",IF(N246&lt;-Resumo!$B$4,"ABAIXO DA TABELA","OK")))</f>
        <v>OK</v>
      </c>
    </row>
    <row r="247" customFormat="false" ht="15" hidden="false" customHeight="false" outlineLevel="0" collapsed="false">
      <c r="A247" s="14" t="s">
        <v>548</v>
      </c>
      <c r="B247" s="14" t="s">
        <v>549</v>
      </c>
      <c r="C247" s="14" t="s">
        <v>24</v>
      </c>
      <c r="D247" s="15" t="n">
        <v>46134</v>
      </c>
      <c r="E247" s="14" t="n">
        <f aca="false">MONTH(D247)</f>
        <v>4</v>
      </c>
      <c r="F247" s="14" t="s">
        <v>67</v>
      </c>
      <c r="G247" s="14" t="s">
        <v>50</v>
      </c>
      <c r="H247" s="14" t="s">
        <v>68</v>
      </c>
      <c r="I247" s="16" t="n">
        <v>386.2</v>
      </c>
      <c r="J247" s="17" t="n">
        <v>1.96</v>
      </c>
      <c r="K247" s="18" t="n">
        <v>192</v>
      </c>
      <c r="L247" s="18" t="n">
        <v>722.87</v>
      </c>
      <c r="M247" s="18" t="n">
        <f aca="false">IF(J247="","",ROUND(MAX(I247*J247,K247),2))</f>
        <v>756.95</v>
      </c>
      <c r="N247" s="18" t="n">
        <f aca="false">IF(M247="","",ROUND(L247-M247,2))</f>
        <v>-34.08</v>
      </c>
      <c r="O247" s="19" t="n">
        <f aca="false">IF(M247="","",N247/M247)</f>
        <v>-0.0450227888235683</v>
      </c>
      <c r="P247" s="14" t="str">
        <f aca="false">IF(M247="","SEM TARIFA NO CONTRATO",IF(N247&gt;Resumo!$B$4,"ACIMA DA TABELA",IF(N247&lt;-Resumo!$B$4,"ABAIXO DA TABELA","OK")))</f>
        <v>ABAIXO DA TABELA</v>
      </c>
    </row>
    <row r="248" customFormat="false" ht="15" hidden="false" customHeight="false" outlineLevel="0" collapsed="false">
      <c r="A248" s="14" t="s">
        <v>550</v>
      </c>
      <c r="B248" s="14" t="s">
        <v>551</v>
      </c>
      <c r="C248" s="14" t="s">
        <v>22</v>
      </c>
      <c r="D248" s="15" t="n">
        <v>46135</v>
      </c>
      <c r="E248" s="14" t="n">
        <f aca="false">MONTH(D248)</f>
        <v>4</v>
      </c>
      <c r="F248" s="14" t="s">
        <v>118</v>
      </c>
      <c r="G248" s="14" t="s">
        <v>50</v>
      </c>
      <c r="H248" s="14" t="s">
        <v>119</v>
      </c>
      <c r="I248" s="16" t="n">
        <v>442</v>
      </c>
      <c r="J248" s="17" t="n">
        <v>3.5028</v>
      </c>
      <c r="K248" s="18" t="n">
        <v>309.96</v>
      </c>
      <c r="L248" s="18" t="n">
        <v>1548.53</v>
      </c>
      <c r="M248" s="18" t="n">
        <f aca="false">IF(J248="","",ROUND(MAX(I248*J248,K248),2))</f>
        <v>1548.24</v>
      </c>
      <c r="N248" s="18" t="n">
        <f aca="false">IF(M248="","",ROUND(L248-M248,2))</f>
        <v>0.29</v>
      </c>
      <c r="O248" s="19" t="n">
        <f aca="false">IF(M248="","",N248/M248)</f>
        <v>0.000187309461065468</v>
      </c>
      <c r="P248" s="14" t="str">
        <f aca="false">IF(M248="","SEM TARIFA NO CONTRATO",IF(N248&gt;Resumo!$B$4,"ACIMA DA TABELA",IF(N248&lt;-Resumo!$B$4,"ABAIXO DA TABELA","OK")))</f>
        <v>OK</v>
      </c>
    </row>
    <row r="249" customFormat="false" ht="15" hidden="false" customHeight="false" outlineLevel="0" collapsed="false">
      <c r="A249" s="14" t="s">
        <v>552</v>
      </c>
      <c r="B249" s="14" t="s">
        <v>553</v>
      </c>
      <c r="C249" s="14" t="s">
        <v>21</v>
      </c>
      <c r="D249" s="15" t="n">
        <v>46135</v>
      </c>
      <c r="E249" s="14" t="n">
        <f aca="false">MONTH(D249)</f>
        <v>4</v>
      </c>
      <c r="F249" s="14" t="s">
        <v>73</v>
      </c>
      <c r="G249" s="14" t="s">
        <v>50</v>
      </c>
      <c r="H249" s="14" t="s">
        <v>74</v>
      </c>
      <c r="I249" s="16" t="n">
        <v>167.2</v>
      </c>
      <c r="J249" s="17" t="n">
        <v>1.2584</v>
      </c>
      <c r="K249" s="18" t="n">
        <v>143.88</v>
      </c>
      <c r="L249" s="18" t="n">
        <v>235.16</v>
      </c>
      <c r="M249" s="18" t="n">
        <f aca="false">IF(J249="","",ROUND(MAX(I249*J249,K249),2))</f>
        <v>210.4</v>
      </c>
      <c r="N249" s="18" t="n">
        <f aca="false">IF(M249="","",ROUND(L249-M249,2))</f>
        <v>24.76</v>
      </c>
      <c r="O249" s="19" t="n">
        <f aca="false">IF(M249="","",N249/M249)</f>
        <v>0.117680608365019</v>
      </c>
      <c r="P249" s="14" t="str">
        <f aca="false">IF(M249="","SEM TARIFA NO CONTRATO",IF(N249&gt;Resumo!$B$4,"ACIMA DA TABELA",IF(N249&lt;-Resumo!$B$4,"ABAIXO DA TABELA","OK")))</f>
        <v>ACIMA DA TABELA</v>
      </c>
    </row>
    <row r="250" customFormat="false" ht="15" hidden="false" customHeight="false" outlineLevel="0" collapsed="false">
      <c r="A250" s="14" t="s">
        <v>554</v>
      </c>
      <c r="B250" s="14" t="s">
        <v>555</v>
      </c>
      <c r="C250" s="14" t="s">
        <v>22</v>
      </c>
      <c r="D250" s="15" t="n">
        <v>46135</v>
      </c>
      <c r="E250" s="14" t="n">
        <f aca="false">MONTH(D250)</f>
        <v>4</v>
      </c>
      <c r="F250" s="14" t="s">
        <v>49</v>
      </c>
      <c r="G250" s="14" t="s">
        <v>50</v>
      </c>
      <c r="H250" s="14" t="s">
        <v>51</v>
      </c>
      <c r="I250" s="16" t="n">
        <v>480.6</v>
      </c>
      <c r="J250" s="17" t="n">
        <v>4.662</v>
      </c>
      <c r="K250" s="18" t="n">
        <v>396.9</v>
      </c>
      <c r="L250" s="18" t="n">
        <v>2240.55</v>
      </c>
      <c r="M250" s="18" t="n">
        <f aca="false">IF(J250="","",ROUND(MAX(I250*J250,K250),2))</f>
        <v>2240.56</v>
      </c>
      <c r="N250" s="18" t="n">
        <f aca="false">IF(M250="","",ROUND(L250-M250,2))</f>
        <v>-0.01</v>
      </c>
      <c r="O250" s="19" t="n">
        <f aca="false">IF(M250="","",N250/M250)</f>
        <v>-4.46316992180526E-006</v>
      </c>
      <c r="P250" s="14" t="str">
        <f aca="false">IF(M250="","SEM TARIFA NO CONTRATO",IF(N250&gt;Resumo!$B$4,"ACIMA DA TABELA",IF(N250&lt;-Resumo!$B$4,"ABAIXO DA TABELA","OK")))</f>
        <v>OK</v>
      </c>
    </row>
    <row r="251" customFormat="false" ht="15" hidden="false" customHeight="false" outlineLevel="0" collapsed="false">
      <c r="A251" s="14" t="s">
        <v>556</v>
      </c>
      <c r="B251" s="14" t="s">
        <v>557</v>
      </c>
      <c r="C251" s="14" t="s">
        <v>23</v>
      </c>
      <c r="D251" s="15" t="n">
        <v>46136</v>
      </c>
      <c r="E251" s="14" t="n">
        <f aca="false">MONTH(D251)</f>
        <v>4</v>
      </c>
      <c r="F251" s="14" t="s">
        <v>88</v>
      </c>
      <c r="G251" s="14" t="s">
        <v>50</v>
      </c>
      <c r="H251" s="14" t="s">
        <v>89</v>
      </c>
      <c r="I251" s="16" t="n">
        <v>409.9</v>
      </c>
      <c r="J251" s="17" t="n">
        <v>1.553</v>
      </c>
      <c r="K251" s="18" t="n">
        <v>157.87</v>
      </c>
      <c r="L251" s="18" t="n">
        <v>636.62</v>
      </c>
      <c r="M251" s="18" t="n">
        <f aca="false">IF(J251="","",ROUND(MAX(I251*J251,K251),2))</f>
        <v>636.57</v>
      </c>
      <c r="N251" s="18" t="n">
        <f aca="false">IF(M251="","",ROUND(L251-M251,2))</f>
        <v>0.05</v>
      </c>
      <c r="O251" s="19" t="n">
        <f aca="false">IF(M251="","",N251/M251)</f>
        <v>7.85459572395809E-005</v>
      </c>
      <c r="P251" s="14" t="str">
        <f aca="false">IF(M251="","SEM TARIFA NO CONTRATO",IF(N251&gt;Resumo!$B$4,"ACIMA DA TABELA",IF(N251&lt;-Resumo!$B$4,"ABAIXO DA TABELA","OK")))</f>
        <v>OK</v>
      </c>
    </row>
    <row r="252" customFormat="false" ht="15" hidden="false" customHeight="false" outlineLevel="0" collapsed="false">
      <c r="A252" s="14" t="s">
        <v>558</v>
      </c>
      <c r="B252" s="14" t="s">
        <v>559</v>
      </c>
      <c r="C252" s="14" t="s">
        <v>25</v>
      </c>
      <c r="D252" s="15" t="n">
        <v>46136</v>
      </c>
      <c r="E252" s="14" t="n">
        <f aca="false">MONTH(D252)</f>
        <v>4</v>
      </c>
      <c r="F252" s="14" t="s">
        <v>79</v>
      </c>
      <c r="G252" s="14" t="s">
        <v>50</v>
      </c>
      <c r="H252" s="14" t="s">
        <v>46</v>
      </c>
      <c r="I252" s="16" t="n">
        <v>149.6</v>
      </c>
      <c r="J252" s="17" t="n">
        <v>0.342</v>
      </c>
      <c r="K252" s="18" t="n">
        <v>68.4</v>
      </c>
      <c r="L252" s="18" t="n">
        <v>68.51</v>
      </c>
      <c r="M252" s="18" t="n">
        <f aca="false">IF(J252="","",ROUND(MAX(I252*J252,K252),2))</f>
        <v>68.4</v>
      </c>
      <c r="N252" s="18" t="n">
        <f aca="false">IF(M252="","",ROUND(L252-M252,2))</f>
        <v>0.11</v>
      </c>
      <c r="O252" s="19" t="n">
        <f aca="false">IF(M252="","",N252/M252)</f>
        <v>0.00160818713450292</v>
      </c>
      <c r="P252" s="14" t="str">
        <f aca="false">IF(M252="","SEM TARIFA NO CONTRATO",IF(N252&gt;Resumo!$B$4,"ACIMA DA TABELA",IF(N252&lt;-Resumo!$B$4,"ABAIXO DA TABELA","OK")))</f>
        <v>OK</v>
      </c>
    </row>
    <row r="253" customFormat="false" ht="15" hidden="false" customHeight="false" outlineLevel="0" collapsed="false">
      <c r="A253" s="14" t="s">
        <v>560</v>
      </c>
      <c r="B253" s="14" t="s">
        <v>561</v>
      </c>
      <c r="C253" s="14" t="s">
        <v>21</v>
      </c>
      <c r="D253" s="15" t="n">
        <v>46137</v>
      </c>
      <c r="E253" s="14" t="n">
        <f aca="false">MONTH(D253)</f>
        <v>4</v>
      </c>
      <c r="F253" s="14" t="s">
        <v>88</v>
      </c>
      <c r="G253" s="14" t="s">
        <v>50</v>
      </c>
      <c r="H253" s="14" t="s">
        <v>89</v>
      </c>
      <c r="I253" s="16" t="n">
        <v>291.9</v>
      </c>
      <c r="J253" s="17" t="n">
        <v>1.8568</v>
      </c>
      <c r="K253" s="18" t="n">
        <v>188.76</v>
      </c>
      <c r="L253" s="18" t="n">
        <v>621.06</v>
      </c>
      <c r="M253" s="18" t="n">
        <f aca="false">IF(J253="","",ROUND(MAX(I253*J253,K253),2))</f>
        <v>542</v>
      </c>
      <c r="N253" s="18" t="n">
        <f aca="false">IF(M253="","",ROUND(L253-M253,2))</f>
        <v>79.06</v>
      </c>
      <c r="O253" s="19" t="n">
        <f aca="false">IF(M253="","",N253/M253)</f>
        <v>0.145867158671587</v>
      </c>
      <c r="P253" s="14" t="str">
        <f aca="false">IF(M253="","SEM TARIFA NO CONTRATO",IF(N253&gt;Resumo!$B$4,"ACIMA DA TABELA",IF(N253&lt;-Resumo!$B$4,"ABAIXO DA TABELA","OK")))</f>
        <v>ACIMA DA TABELA</v>
      </c>
    </row>
    <row r="254" customFormat="false" ht="15" hidden="false" customHeight="false" outlineLevel="0" collapsed="false">
      <c r="A254" s="14" t="s">
        <v>562</v>
      </c>
      <c r="B254" s="14" t="s">
        <v>563</v>
      </c>
      <c r="C254" s="14" t="s">
        <v>21</v>
      </c>
      <c r="D254" s="15" t="n">
        <v>46137</v>
      </c>
      <c r="E254" s="14" t="n">
        <f aca="false">MONTH(D254)</f>
        <v>4</v>
      </c>
      <c r="F254" s="14" t="s">
        <v>88</v>
      </c>
      <c r="G254" s="14" t="s">
        <v>50</v>
      </c>
      <c r="H254" s="14" t="s">
        <v>89</v>
      </c>
      <c r="I254" s="16" t="n">
        <v>1156.4</v>
      </c>
      <c r="J254" s="17" t="n">
        <v>1.8568</v>
      </c>
      <c r="K254" s="18" t="n">
        <v>188.76</v>
      </c>
      <c r="L254" s="18" t="n">
        <v>2146.99</v>
      </c>
      <c r="M254" s="18" t="n">
        <f aca="false">IF(J254="","",ROUND(MAX(I254*J254,K254),2))</f>
        <v>2147.2</v>
      </c>
      <c r="N254" s="18" t="n">
        <f aca="false">IF(M254="","",ROUND(L254-M254,2))</f>
        <v>-0.21</v>
      </c>
      <c r="O254" s="19" t="n">
        <f aca="false">IF(M254="","",N254/M254)</f>
        <v>-9.78017883755589E-005</v>
      </c>
      <c r="P254" s="14" t="str">
        <f aca="false">IF(M254="","SEM TARIFA NO CONTRATO",IF(N254&gt;Resumo!$B$4,"ACIMA DA TABELA",IF(N254&lt;-Resumo!$B$4,"ABAIXO DA TABELA","OK")))</f>
        <v>OK</v>
      </c>
    </row>
    <row r="255" customFormat="false" ht="15" hidden="false" customHeight="false" outlineLevel="0" collapsed="false">
      <c r="A255" s="14" t="s">
        <v>564</v>
      </c>
      <c r="B255" s="14" t="s">
        <v>565</v>
      </c>
      <c r="C255" s="14" t="s">
        <v>24</v>
      </c>
      <c r="D255" s="15" t="n">
        <v>46138</v>
      </c>
      <c r="E255" s="14" t="n">
        <f aca="false">MONTH(D255)</f>
        <v>4</v>
      </c>
      <c r="F255" s="14" t="s">
        <v>73</v>
      </c>
      <c r="G255" s="14" t="s">
        <v>50</v>
      </c>
      <c r="H255" s="14" t="s">
        <v>74</v>
      </c>
      <c r="I255" s="16" t="n">
        <v>858.4</v>
      </c>
      <c r="J255" s="17" t="n">
        <v>1.144</v>
      </c>
      <c r="K255" s="18" t="n">
        <v>130.8</v>
      </c>
      <c r="L255" s="18" t="n">
        <v>981.65</v>
      </c>
      <c r="M255" s="18" t="n">
        <f aca="false">IF(J255="","",ROUND(MAX(I255*J255,K255),2))</f>
        <v>982.01</v>
      </c>
      <c r="N255" s="18" t="n">
        <f aca="false">IF(M255="","",ROUND(L255-M255,2))</f>
        <v>-0.36</v>
      </c>
      <c r="O255" s="19" t="n">
        <f aca="false">IF(M255="","",N255/M255)</f>
        <v>-0.000366595044856977</v>
      </c>
      <c r="P255" s="14" t="str">
        <f aca="false">IF(M255="","SEM TARIFA NO CONTRATO",IF(N255&gt;Resumo!$B$4,"ACIMA DA TABELA",IF(N255&lt;-Resumo!$B$4,"ABAIXO DA TABELA","OK")))</f>
        <v>OK</v>
      </c>
    </row>
    <row r="256" customFormat="false" ht="15" hidden="false" customHeight="false" outlineLevel="0" collapsed="false">
      <c r="A256" s="14" t="s">
        <v>566</v>
      </c>
      <c r="B256" s="14" t="s">
        <v>567</v>
      </c>
      <c r="C256" s="14" t="s">
        <v>24</v>
      </c>
      <c r="D256" s="15" t="n">
        <v>46138</v>
      </c>
      <c r="E256" s="14" t="n">
        <f aca="false">MONTH(D256)</f>
        <v>4</v>
      </c>
      <c r="F256" s="14" t="s">
        <v>73</v>
      </c>
      <c r="G256" s="14" t="s">
        <v>50</v>
      </c>
      <c r="H256" s="14" t="s">
        <v>74</v>
      </c>
      <c r="I256" s="16" t="n">
        <v>171.6</v>
      </c>
      <c r="J256" s="17" t="n">
        <v>1.144</v>
      </c>
      <c r="K256" s="18" t="n">
        <v>130.8</v>
      </c>
      <c r="L256" s="18" t="n">
        <v>196.35</v>
      </c>
      <c r="M256" s="18" t="n">
        <f aca="false">IF(J256="","",ROUND(MAX(I256*J256,K256),2))</f>
        <v>196.31</v>
      </c>
      <c r="N256" s="18" t="n">
        <f aca="false">IF(M256="","",ROUND(L256-M256,2))</f>
        <v>0.04</v>
      </c>
      <c r="O256" s="19" t="n">
        <f aca="false">IF(M256="","",N256/M256)</f>
        <v>0.000203759360195609</v>
      </c>
      <c r="P256" s="14" t="str">
        <f aca="false">IF(M256="","SEM TARIFA NO CONTRATO",IF(N256&gt;Resumo!$B$4,"ACIMA DA TABELA",IF(N256&lt;-Resumo!$B$4,"ABAIXO DA TABELA","OK")))</f>
        <v>OK</v>
      </c>
    </row>
    <row r="257" customFormat="false" ht="15" hidden="false" customHeight="false" outlineLevel="0" collapsed="false">
      <c r="A257" s="14" t="s">
        <v>568</v>
      </c>
      <c r="B257" s="14" t="s">
        <v>569</v>
      </c>
      <c r="C257" s="14" t="s">
        <v>25</v>
      </c>
      <c r="D257" s="15" t="n">
        <v>46139</v>
      </c>
      <c r="E257" s="14" t="n">
        <f aca="false">MONTH(D257)</f>
        <v>4</v>
      </c>
      <c r="F257" s="14" t="s">
        <v>104</v>
      </c>
      <c r="G257" s="14" t="s">
        <v>45</v>
      </c>
      <c r="H257" s="14" t="s">
        <v>68</v>
      </c>
      <c r="I257" s="16" t="n">
        <v>140</v>
      </c>
      <c r="J257" s="17" t="n">
        <v>1.254</v>
      </c>
      <c r="K257" s="18" t="n">
        <v>136.8</v>
      </c>
      <c r="L257" s="18" t="n">
        <v>175.48</v>
      </c>
      <c r="M257" s="18" t="n">
        <f aca="false">IF(J257="","",ROUND(MAX(I257*J257,K257),2))</f>
        <v>175.56</v>
      </c>
      <c r="N257" s="18" t="n">
        <f aca="false">IF(M257="","",ROUND(L257-M257,2))</f>
        <v>-0.08</v>
      </c>
      <c r="O257" s="19" t="n">
        <f aca="false">IF(M257="","",N257/M257)</f>
        <v>-0.000455684666210982</v>
      </c>
      <c r="P257" s="14" t="str">
        <f aca="false">IF(M257="","SEM TARIFA NO CONTRATO",IF(N257&gt;Resumo!$B$4,"ACIMA DA TABELA",IF(N257&lt;-Resumo!$B$4,"ABAIXO DA TABELA","OK")))</f>
        <v>OK</v>
      </c>
    </row>
    <row r="258" customFormat="false" ht="15" hidden="false" customHeight="false" outlineLevel="0" collapsed="false">
      <c r="A258" s="14" t="s">
        <v>570</v>
      </c>
      <c r="B258" s="14" t="s">
        <v>571</v>
      </c>
      <c r="C258" s="14" t="s">
        <v>21</v>
      </c>
      <c r="D258" s="15" t="n">
        <v>46139</v>
      </c>
      <c r="E258" s="14" t="n">
        <f aca="false">MONTH(D258)</f>
        <v>4</v>
      </c>
      <c r="F258" s="14" t="s">
        <v>67</v>
      </c>
      <c r="G258" s="14" t="s">
        <v>50</v>
      </c>
      <c r="H258" s="14" t="s">
        <v>68</v>
      </c>
      <c r="I258" s="16" t="n">
        <v>966</v>
      </c>
      <c r="J258" s="17" t="n">
        <v>2.156</v>
      </c>
      <c r="K258" s="18" t="n">
        <v>211.2</v>
      </c>
      <c r="L258" s="18" t="n">
        <v>2082.37</v>
      </c>
      <c r="M258" s="18" t="n">
        <f aca="false">IF(J258="","",ROUND(MAX(I258*J258,K258),2))</f>
        <v>2082.7</v>
      </c>
      <c r="N258" s="18" t="n">
        <f aca="false">IF(M258="","",ROUND(L258-M258,2))</f>
        <v>-0.33</v>
      </c>
      <c r="O258" s="19" t="n">
        <f aca="false">IF(M258="","",N258/M258)</f>
        <v>-0.000158448168243146</v>
      </c>
      <c r="P258" s="14" t="str">
        <f aca="false">IF(M258="","SEM TARIFA NO CONTRATO",IF(N258&gt;Resumo!$B$4,"ACIMA DA TABELA",IF(N258&lt;-Resumo!$B$4,"ABAIXO DA TABELA","OK")))</f>
        <v>OK</v>
      </c>
    </row>
    <row r="259" customFormat="false" ht="15" hidden="false" customHeight="false" outlineLevel="0" collapsed="false">
      <c r="A259" s="14" t="s">
        <v>572</v>
      </c>
      <c r="B259" s="14" t="s">
        <v>573</v>
      </c>
      <c r="C259" s="14" t="s">
        <v>23</v>
      </c>
      <c r="D259" s="15" t="n">
        <v>46139</v>
      </c>
      <c r="E259" s="14" t="n">
        <f aca="false">MONTH(D259)</f>
        <v>4</v>
      </c>
      <c r="F259" s="14" t="s">
        <v>88</v>
      </c>
      <c r="G259" s="14" t="s">
        <v>50</v>
      </c>
      <c r="H259" s="14" t="s">
        <v>89</v>
      </c>
      <c r="I259" s="16" t="n">
        <v>1119.7</v>
      </c>
      <c r="J259" s="17" t="n">
        <v>1.553</v>
      </c>
      <c r="K259" s="18" t="n">
        <v>157.87</v>
      </c>
      <c r="L259" s="18" t="n">
        <v>1738.63</v>
      </c>
      <c r="M259" s="18" t="n">
        <f aca="false">IF(J259="","",ROUND(MAX(I259*J259,K259),2))</f>
        <v>1738.89</v>
      </c>
      <c r="N259" s="18" t="n">
        <f aca="false">IF(M259="","",ROUND(L259-M259,2))</f>
        <v>-0.26</v>
      </c>
      <c r="O259" s="19" t="n">
        <f aca="false">IF(M259="","",N259/M259)</f>
        <v>-0.000149520671232798</v>
      </c>
      <c r="P259" s="14" t="str">
        <f aca="false">IF(M259="","SEM TARIFA NO CONTRATO",IF(N259&gt;Resumo!$B$4,"ACIMA DA TABELA",IF(N259&lt;-Resumo!$B$4,"ABAIXO DA TABELA","OK")))</f>
        <v>OK</v>
      </c>
    </row>
    <row r="260" customFormat="false" ht="15" hidden="false" customHeight="false" outlineLevel="0" collapsed="false">
      <c r="A260" s="14" t="s">
        <v>574</v>
      </c>
      <c r="B260" s="14" t="s">
        <v>575</v>
      </c>
      <c r="C260" s="14" t="s">
        <v>23</v>
      </c>
      <c r="D260" s="15" t="n">
        <v>46139</v>
      </c>
      <c r="E260" s="14" t="n">
        <f aca="false">MONTH(D260)</f>
        <v>4</v>
      </c>
      <c r="F260" s="14" t="s">
        <v>88</v>
      </c>
      <c r="G260" s="14" t="s">
        <v>50</v>
      </c>
      <c r="H260" s="14" t="s">
        <v>89</v>
      </c>
      <c r="I260" s="16" t="n">
        <v>828.7</v>
      </c>
      <c r="J260" s="17" t="n">
        <v>1.553</v>
      </c>
      <c r="K260" s="18" t="n">
        <v>157.87</v>
      </c>
      <c r="L260" s="18" t="n">
        <v>1287.23</v>
      </c>
      <c r="M260" s="18" t="n">
        <f aca="false">IF(J260="","",ROUND(MAX(I260*J260,K260),2))</f>
        <v>1286.97</v>
      </c>
      <c r="N260" s="18" t="n">
        <f aca="false">IF(M260="","",ROUND(L260-M260,2))</f>
        <v>0.26</v>
      </c>
      <c r="O260" s="19" t="n">
        <f aca="false">IF(M260="","",N260/M260)</f>
        <v>0.000202024911225592</v>
      </c>
      <c r="P260" s="14" t="str">
        <f aca="false">IF(M260="","SEM TARIFA NO CONTRATO",IF(N260&gt;Resumo!$B$4,"ACIMA DA TABELA",IF(N260&lt;-Resumo!$B$4,"ABAIXO DA TABELA","OK")))</f>
        <v>OK</v>
      </c>
    </row>
    <row r="261" customFormat="false" ht="15" hidden="false" customHeight="false" outlineLevel="0" collapsed="false">
      <c r="A261" s="14" t="s">
        <v>576</v>
      </c>
      <c r="B261" s="14" t="s">
        <v>577</v>
      </c>
      <c r="C261" s="14" t="s">
        <v>21</v>
      </c>
      <c r="D261" s="15" t="n">
        <v>46139</v>
      </c>
      <c r="E261" s="14" t="n">
        <f aca="false">MONTH(D261)</f>
        <v>4</v>
      </c>
      <c r="F261" s="14" t="s">
        <v>88</v>
      </c>
      <c r="G261" s="14" t="s">
        <v>50</v>
      </c>
      <c r="H261" s="14" t="s">
        <v>89</v>
      </c>
      <c r="I261" s="16" t="n">
        <v>365.5</v>
      </c>
      <c r="J261" s="17" t="n">
        <v>1.8568</v>
      </c>
      <c r="K261" s="18" t="n">
        <v>188.76</v>
      </c>
      <c r="L261" s="18" t="n">
        <v>678.6</v>
      </c>
      <c r="M261" s="18" t="n">
        <f aca="false">IF(J261="","",ROUND(MAX(I261*J261,K261),2))</f>
        <v>678.66</v>
      </c>
      <c r="N261" s="18" t="n">
        <f aca="false">IF(M261="","",ROUND(L261-M261,2))</f>
        <v>-0.06</v>
      </c>
      <c r="O261" s="19" t="n">
        <f aca="false">IF(M261="","",N261/M261)</f>
        <v>-8.84095128635841E-005</v>
      </c>
      <c r="P261" s="14" t="str">
        <f aca="false">IF(M261="","SEM TARIFA NO CONTRATO",IF(N261&gt;Resumo!$B$4,"ACIMA DA TABELA",IF(N261&lt;-Resumo!$B$4,"ABAIXO DA TABELA","OK")))</f>
        <v>OK</v>
      </c>
    </row>
    <row r="262" customFormat="false" ht="15" hidden="false" customHeight="false" outlineLevel="0" collapsed="false">
      <c r="A262" s="14" t="s">
        <v>578</v>
      </c>
      <c r="B262" s="14" t="s">
        <v>579</v>
      </c>
      <c r="C262" s="14" t="s">
        <v>24</v>
      </c>
      <c r="D262" s="15" t="n">
        <v>46140</v>
      </c>
      <c r="E262" s="14" t="n">
        <f aca="false">MONTH(D262)</f>
        <v>4</v>
      </c>
      <c r="F262" s="14" t="s">
        <v>67</v>
      </c>
      <c r="G262" s="14" t="s">
        <v>50</v>
      </c>
      <c r="H262" s="14" t="s">
        <v>68</v>
      </c>
      <c r="I262" s="16" t="n">
        <v>493.9</v>
      </c>
      <c r="J262" s="17" t="n">
        <v>1.96</v>
      </c>
      <c r="K262" s="18" t="n">
        <v>192</v>
      </c>
      <c r="L262" s="18" t="n">
        <v>968.29</v>
      </c>
      <c r="M262" s="18" t="n">
        <f aca="false">IF(J262="","",ROUND(MAX(I262*J262,K262),2))</f>
        <v>968.04</v>
      </c>
      <c r="N262" s="18" t="n">
        <f aca="false">IF(M262="","",ROUND(L262-M262,2))</f>
        <v>0.25</v>
      </c>
      <c r="O262" s="19" t="n">
        <f aca="false">IF(M262="","",N262/M262)</f>
        <v>0.000258253791165654</v>
      </c>
      <c r="P262" s="14" t="str">
        <f aca="false">IF(M262="","SEM TARIFA NO CONTRATO",IF(N262&gt;Resumo!$B$4,"ACIMA DA TABELA",IF(N262&lt;-Resumo!$B$4,"ABAIXO DA TABELA","OK")))</f>
        <v>OK</v>
      </c>
    </row>
    <row r="263" customFormat="false" ht="15" hidden="false" customHeight="false" outlineLevel="0" collapsed="false">
      <c r="A263" s="14" t="s">
        <v>580</v>
      </c>
      <c r="B263" s="14" t="s">
        <v>581</v>
      </c>
      <c r="C263" s="14" t="s">
        <v>21</v>
      </c>
      <c r="D263" s="15" t="n">
        <v>46140</v>
      </c>
      <c r="E263" s="14" t="n">
        <f aca="false">MONTH(D263)</f>
        <v>4</v>
      </c>
      <c r="F263" s="14" t="s">
        <v>49</v>
      </c>
      <c r="G263" s="14" t="s">
        <v>50</v>
      </c>
      <c r="H263" s="14" t="s">
        <v>51</v>
      </c>
      <c r="I263" s="16" t="n">
        <v>2800.5</v>
      </c>
      <c r="J263" s="17" t="n">
        <v>4.884</v>
      </c>
      <c r="K263" s="18" t="n">
        <v>415.8</v>
      </c>
      <c r="L263" s="18" t="n">
        <v>13677.89</v>
      </c>
      <c r="M263" s="18" t="n">
        <f aca="false">IF(J263="","",ROUND(MAX(I263*J263,K263),2))</f>
        <v>13677.64</v>
      </c>
      <c r="N263" s="18" t="n">
        <f aca="false">IF(M263="","",ROUND(L263-M263,2))</f>
        <v>0.25</v>
      </c>
      <c r="O263" s="19" t="n">
        <f aca="false">IF(M263="","",N263/M263)</f>
        <v>1.82780070246037E-005</v>
      </c>
      <c r="P263" s="14" t="str">
        <f aca="false">IF(M263="","SEM TARIFA NO CONTRATO",IF(N263&gt;Resumo!$B$4,"ACIMA DA TABELA",IF(N263&lt;-Resumo!$B$4,"ABAIXO DA TABELA","OK")))</f>
        <v>OK</v>
      </c>
    </row>
    <row r="264" customFormat="false" ht="15" hidden="false" customHeight="false" outlineLevel="0" collapsed="false">
      <c r="A264" s="14" t="s">
        <v>582</v>
      </c>
      <c r="B264" s="14" t="s">
        <v>583</v>
      </c>
      <c r="C264" s="14" t="s">
        <v>22</v>
      </c>
      <c r="D264" s="15" t="n">
        <v>46141</v>
      </c>
      <c r="E264" s="14" t="n">
        <f aca="false">MONTH(D264)</f>
        <v>4</v>
      </c>
      <c r="F264" s="14" t="s">
        <v>67</v>
      </c>
      <c r="G264" s="14" t="s">
        <v>50</v>
      </c>
      <c r="H264" s="14" t="s">
        <v>68</v>
      </c>
      <c r="I264" s="16" t="n">
        <v>40</v>
      </c>
      <c r="J264" s="17" t="n">
        <v>2.058</v>
      </c>
      <c r="K264" s="18" t="n">
        <v>201.6</v>
      </c>
      <c r="L264" s="18" t="n">
        <v>235.89</v>
      </c>
      <c r="M264" s="18" t="n">
        <f aca="false">IF(J264="","",ROUND(MAX(I264*J264,K264),2))</f>
        <v>201.6</v>
      </c>
      <c r="N264" s="18" t="n">
        <f aca="false">IF(M264="","",ROUND(L264-M264,2))</f>
        <v>34.29</v>
      </c>
      <c r="O264" s="19" t="n">
        <f aca="false">IF(M264="","",N264/M264)</f>
        <v>0.170089285714286</v>
      </c>
      <c r="P264" s="14" t="str">
        <f aca="false">IF(M264="","SEM TARIFA NO CONTRATO",IF(N264&gt;Resumo!$B$4,"ACIMA DA TABELA",IF(N264&lt;-Resumo!$B$4,"ABAIXO DA TABELA","OK")))</f>
        <v>ACIMA DA TABELA</v>
      </c>
    </row>
    <row r="265" customFormat="false" ht="15" hidden="false" customHeight="false" outlineLevel="0" collapsed="false">
      <c r="A265" s="14" t="s">
        <v>584</v>
      </c>
      <c r="B265" s="14" t="s">
        <v>585</v>
      </c>
      <c r="C265" s="14" t="s">
        <v>24</v>
      </c>
      <c r="D265" s="15" t="n">
        <v>46141</v>
      </c>
      <c r="E265" s="14" t="n">
        <f aca="false">MONTH(D265)</f>
        <v>4</v>
      </c>
      <c r="F265" s="14" t="s">
        <v>61</v>
      </c>
      <c r="G265" s="14" t="s">
        <v>50</v>
      </c>
      <c r="H265" s="14" t="s">
        <v>62</v>
      </c>
      <c r="I265" s="16" t="n">
        <v>774</v>
      </c>
      <c r="J265" s="17" t="n">
        <v>1</v>
      </c>
      <c r="K265" s="18" t="n">
        <v>120</v>
      </c>
      <c r="L265" s="18" t="n">
        <v>774.15</v>
      </c>
      <c r="M265" s="18" t="n">
        <f aca="false">IF(J265="","",ROUND(MAX(I265*J265,K265),2))</f>
        <v>774</v>
      </c>
      <c r="N265" s="18" t="n">
        <f aca="false">IF(M265="","",ROUND(L265-M265,2))</f>
        <v>0.15</v>
      </c>
      <c r="O265" s="19" t="n">
        <f aca="false">IF(M265="","",N265/M265)</f>
        <v>0.000193798449612403</v>
      </c>
      <c r="P265" s="14" t="str">
        <f aca="false">IF(M265="","SEM TARIFA NO CONTRATO",IF(N265&gt;Resumo!$B$4,"ACIMA DA TABELA",IF(N265&lt;-Resumo!$B$4,"ABAIXO DA TABELA","OK")))</f>
        <v>OK</v>
      </c>
    </row>
    <row r="266" customFormat="false" ht="15" hidden="false" customHeight="false" outlineLevel="0" collapsed="false">
      <c r="A266" s="14" t="s">
        <v>586</v>
      </c>
      <c r="B266" s="14" t="s">
        <v>587</v>
      </c>
      <c r="C266" s="14" t="s">
        <v>25</v>
      </c>
      <c r="D266" s="15" t="n">
        <v>46142</v>
      </c>
      <c r="E266" s="14" t="n">
        <f aca="false">MONTH(D266)</f>
        <v>4</v>
      </c>
      <c r="F266" s="14" t="s">
        <v>79</v>
      </c>
      <c r="G266" s="14" t="s">
        <v>50</v>
      </c>
      <c r="H266" s="14" t="s">
        <v>46</v>
      </c>
      <c r="I266" s="16" t="n">
        <v>1227.6</v>
      </c>
      <c r="J266" s="17" t="n">
        <v>0.342</v>
      </c>
      <c r="K266" s="18" t="n">
        <v>68.4</v>
      </c>
      <c r="L266" s="18" t="n">
        <v>419.8</v>
      </c>
      <c r="M266" s="18" t="n">
        <f aca="false">IF(J266="","",ROUND(MAX(I266*J266,K266),2))</f>
        <v>419.84</v>
      </c>
      <c r="N266" s="18" t="n">
        <f aca="false">IF(M266="","",ROUND(L266-M266,2))</f>
        <v>-0.04</v>
      </c>
      <c r="O266" s="19" t="n">
        <f aca="false">IF(M266="","",N266/M266)</f>
        <v>-9.52743902439024E-005</v>
      </c>
      <c r="P266" s="14" t="str">
        <f aca="false">IF(M266="","SEM TARIFA NO CONTRATO",IF(N266&gt;Resumo!$B$4,"ACIMA DA TABELA",IF(N266&lt;-Resumo!$B$4,"ABAIXO DA TABELA","OK")))</f>
        <v>OK</v>
      </c>
    </row>
    <row r="267" customFormat="false" ht="15" hidden="false" customHeight="false" outlineLevel="0" collapsed="false">
      <c r="A267" s="14" t="s">
        <v>588</v>
      </c>
      <c r="B267" s="14" t="s">
        <v>589</v>
      </c>
      <c r="C267" s="14" t="s">
        <v>23</v>
      </c>
      <c r="D267" s="15" t="n">
        <v>46143</v>
      </c>
      <c r="E267" s="14" t="n">
        <f aca="false">MONTH(D267)</f>
        <v>5</v>
      </c>
      <c r="F267" s="14" t="s">
        <v>49</v>
      </c>
      <c r="G267" s="14" t="s">
        <v>50</v>
      </c>
      <c r="H267" s="14" t="s">
        <v>51</v>
      </c>
      <c r="I267" s="16" t="n">
        <v>473.5</v>
      </c>
      <c r="J267" s="17" t="n">
        <v>4.0848</v>
      </c>
      <c r="K267" s="18" t="n">
        <v>347.76</v>
      </c>
      <c r="L267" s="18" t="n">
        <v>1934.48</v>
      </c>
      <c r="M267" s="18" t="n">
        <f aca="false">IF(J267="","",ROUND(MAX(I267*J267,K267),2))</f>
        <v>1934.15</v>
      </c>
      <c r="N267" s="18" t="n">
        <f aca="false">IF(M267="","",ROUND(L267-M267,2))</f>
        <v>0.33</v>
      </c>
      <c r="O267" s="19" t="n">
        <f aca="false">IF(M267="","",N267/M267)</f>
        <v>0.000170617583951607</v>
      </c>
      <c r="P267" s="14" t="str">
        <f aca="false">IF(M267="","SEM TARIFA NO CONTRATO",IF(N267&gt;Resumo!$B$4,"ACIMA DA TABELA",IF(N267&lt;-Resumo!$B$4,"ABAIXO DA TABELA","OK")))</f>
        <v>OK</v>
      </c>
    </row>
    <row r="268" customFormat="false" ht="15" hidden="false" customHeight="false" outlineLevel="0" collapsed="false">
      <c r="A268" s="14" t="s">
        <v>590</v>
      </c>
      <c r="B268" s="14" t="s">
        <v>591</v>
      </c>
      <c r="C268" s="14" t="s">
        <v>25</v>
      </c>
      <c r="D268" s="15" t="n">
        <v>46143</v>
      </c>
      <c r="E268" s="14" t="n">
        <f aca="false">MONTH(D268)</f>
        <v>5</v>
      </c>
      <c r="F268" s="14" t="s">
        <v>73</v>
      </c>
      <c r="G268" s="14" t="s">
        <v>50</v>
      </c>
      <c r="H268" s="14" t="s">
        <v>74</v>
      </c>
      <c r="I268" s="16" t="n">
        <v>340.7</v>
      </c>
      <c r="J268" s="17" t="n">
        <v>1.0868</v>
      </c>
      <c r="K268" s="18" t="n">
        <v>124.26</v>
      </c>
      <c r="L268" s="18" t="n">
        <v>370.08</v>
      </c>
      <c r="M268" s="18" t="n">
        <f aca="false">IF(J268="","",ROUND(MAX(I268*J268,K268),2))</f>
        <v>370.27</v>
      </c>
      <c r="N268" s="18" t="n">
        <f aca="false">IF(M268="","",ROUND(L268-M268,2))</f>
        <v>-0.19</v>
      </c>
      <c r="O268" s="19" t="n">
        <f aca="false">IF(M268="","",N268/M268)</f>
        <v>-0.000513139060685446</v>
      </c>
      <c r="P268" s="14" t="str">
        <f aca="false">IF(M268="","SEM TARIFA NO CONTRATO",IF(N268&gt;Resumo!$B$4,"ACIMA DA TABELA",IF(N268&lt;-Resumo!$B$4,"ABAIXO DA TABELA","OK")))</f>
        <v>OK</v>
      </c>
    </row>
    <row r="269" customFormat="false" ht="15" hidden="false" customHeight="false" outlineLevel="0" collapsed="false">
      <c r="A269" s="14" t="s">
        <v>592</v>
      </c>
      <c r="B269" s="14" t="s">
        <v>593</v>
      </c>
      <c r="C269" s="14" t="s">
        <v>24</v>
      </c>
      <c r="D269" s="15" t="n">
        <v>46145</v>
      </c>
      <c r="E269" s="14" t="n">
        <f aca="false">MONTH(D269)</f>
        <v>5</v>
      </c>
      <c r="F269" s="14" t="s">
        <v>44</v>
      </c>
      <c r="G269" s="14" t="s">
        <v>45</v>
      </c>
      <c r="H269" s="14" t="s">
        <v>46</v>
      </c>
      <c r="I269" s="16" t="n">
        <v>788.3</v>
      </c>
      <c r="J269" s="17" t="n">
        <v>0.856</v>
      </c>
      <c r="K269" s="18" t="n">
        <v>109.2</v>
      </c>
      <c r="L269" s="18" t="n">
        <v>674.4</v>
      </c>
      <c r="M269" s="18" t="n">
        <f aca="false">IF(J269="","",ROUND(MAX(I269*J269,K269),2))</f>
        <v>674.78</v>
      </c>
      <c r="N269" s="18" t="n">
        <f aca="false">IF(M269="","",ROUND(L269-M269,2))</f>
        <v>-0.38</v>
      </c>
      <c r="O269" s="19" t="n">
        <f aca="false">IF(M269="","",N269/M269)</f>
        <v>-0.000563146507009692</v>
      </c>
      <c r="P269" s="14" t="str">
        <f aca="false">IF(M269="","SEM TARIFA NO CONTRATO",IF(N269&gt;Resumo!$B$4,"ACIMA DA TABELA",IF(N269&lt;-Resumo!$B$4,"ABAIXO DA TABELA","OK")))</f>
        <v>OK</v>
      </c>
    </row>
    <row r="270" customFormat="false" ht="15" hidden="false" customHeight="false" outlineLevel="0" collapsed="false">
      <c r="A270" s="14" t="s">
        <v>594</v>
      </c>
      <c r="B270" s="14" t="s">
        <v>595</v>
      </c>
      <c r="C270" s="14" t="s">
        <v>21</v>
      </c>
      <c r="D270" s="15" t="n">
        <v>46145</v>
      </c>
      <c r="E270" s="14" t="n">
        <f aca="false">MONTH(D270)</f>
        <v>5</v>
      </c>
      <c r="F270" s="14" t="s">
        <v>49</v>
      </c>
      <c r="G270" s="14" t="s">
        <v>50</v>
      </c>
      <c r="H270" s="14" t="s">
        <v>51</v>
      </c>
      <c r="I270" s="16" t="n">
        <v>147.8</v>
      </c>
      <c r="J270" s="17" t="n">
        <v>4.884</v>
      </c>
      <c r="K270" s="18" t="n">
        <v>415.8</v>
      </c>
      <c r="L270" s="18" t="n">
        <v>721.88</v>
      </c>
      <c r="M270" s="18" t="n">
        <f aca="false">IF(J270="","",ROUND(MAX(I270*J270,K270),2))</f>
        <v>721.86</v>
      </c>
      <c r="N270" s="18" t="n">
        <f aca="false">IF(M270="","",ROUND(L270-M270,2))</f>
        <v>0.02</v>
      </c>
      <c r="O270" s="19" t="n">
        <f aca="false">IF(M270="","",N270/M270)</f>
        <v>2.77062034189455E-005</v>
      </c>
      <c r="P270" s="14" t="str">
        <f aca="false">IF(M270="","SEM TARIFA NO CONTRATO",IF(N270&gt;Resumo!$B$4,"ACIMA DA TABELA",IF(N270&lt;-Resumo!$B$4,"ABAIXO DA TABELA","OK")))</f>
        <v>OK</v>
      </c>
    </row>
    <row r="271" customFormat="false" ht="15" hidden="false" customHeight="false" outlineLevel="0" collapsed="false">
      <c r="A271" s="14" t="s">
        <v>596</v>
      </c>
      <c r="B271" s="14" t="s">
        <v>597</v>
      </c>
      <c r="C271" s="14" t="s">
        <v>25</v>
      </c>
      <c r="D271" s="15" t="n">
        <v>46145</v>
      </c>
      <c r="E271" s="14" t="n">
        <f aca="false">MONTH(D271)</f>
        <v>5</v>
      </c>
      <c r="F271" s="14" t="s">
        <v>56</v>
      </c>
      <c r="G271" s="14" t="s">
        <v>50</v>
      </c>
      <c r="H271" s="14" t="s">
        <v>45</v>
      </c>
      <c r="I271" s="16" t="n">
        <v>409.5</v>
      </c>
      <c r="J271" s="17" t="n">
        <v>0.8132</v>
      </c>
      <c r="K271" s="18" t="n">
        <v>103.74</v>
      </c>
      <c r="L271" s="18" t="n">
        <v>333.09</v>
      </c>
      <c r="M271" s="18" t="n">
        <f aca="false">IF(J271="","",ROUND(MAX(I271*J271,K271),2))</f>
        <v>333.01</v>
      </c>
      <c r="N271" s="18" t="n">
        <f aca="false">IF(M271="","",ROUND(L271-M271,2))</f>
        <v>0.08</v>
      </c>
      <c r="O271" s="19" t="n">
        <f aca="false">IF(M271="","",N271/M271)</f>
        <v>0.000240233026035254</v>
      </c>
      <c r="P271" s="14" t="str">
        <f aca="false">IF(M271="","SEM TARIFA NO CONTRATO",IF(N271&gt;Resumo!$B$4,"ACIMA DA TABELA",IF(N271&lt;-Resumo!$B$4,"ABAIXO DA TABELA","OK")))</f>
        <v>OK</v>
      </c>
    </row>
    <row r="272" customFormat="false" ht="15" hidden="false" customHeight="false" outlineLevel="0" collapsed="false">
      <c r="A272" s="14" t="s">
        <v>598</v>
      </c>
      <c r="B272" s="14" t="s">
        <v>599</v>
      </c>
      <c r="C272" s="14" t="s">
        <v>24</v>
      </c>
      <c r="D272" s="15" t="n">
        <v>46146</v>
      </c>
      <c r="E272" s="14" t="n">
        <f aca="false">MONTH(D272)</f>
        <v>5</v>
      </c>
      <c r="F272" s="14" t="s">
        <v>61</v>
      </c>
      <c r="G272" s="14" t="s">
        <v>50</v>
      </c>
      <c r="H272" s="14" t="s">
        <v>62</v>
      </c>
      <c r="I272" s="16" t="n">
        <v>69.3</v>
      </c>
      <c r="J272" s="17" t="n">
        <v>1</v>
      </c>
      <c r="K272" s="18" t="n">
        <v>120</v>
      </c>
      <c r="L272" s="18" t="n">
        <v>143.93</v>
      </c>
      <c r="M272" s="18" t="n">
        <f aca="false">IF(J272="","",ROUND(MAX(I272*J272,K272),2))</f>
        <v>120</v>
      </c>
      <c r="N272" s="18" t="n">
        <f aca="false">IF(M272="","",ROUND(L272-M272,2))</f>
        <v>23.93</v>
      </c>
      <c r="O272" s="19" t="n">
        <f aca="false">IF(M272="","",N272/M272)</f>
        <v>0.199416666666667</v>
      </c>
      <c r="P272" s="14" t="str">
        <f aca="false">IF(M272="","SEM TARIFA NO CONTRATO",IF(N272&gt;Resumo!$B$4,"ACIMA DA TABELA",IF(N272&lt;-Resumo!$B$4,"ABAIXO DA TABELA","OK")))</f>
        <v>ACIMA DA TABELA</v>
      </c>
    </row>
    <row r="273" customFormat="false" ht="15" hidden="false" customHeight="false" outlineLevel="0" collapsed="false">
      <c r="A273" s="14" t="s">
        <v>600</v>
      </c>
      <c r="B273" s="14" t="s">
        <v>601</v>
      </c>
      <c r="C273" s="14" t="s">
        <v>24</v>
      </c>
      <c r="D273" s="15" t="n">
        <v>46147</v>
      </c>
      <c r="E273" s="14" t="n">
        <f aca="false">MONTH(D273)</f>
        <v>5</v>
      </c>
      <c r="F273" s="14" t="s">
        <v>56</v>
      </c>
      <c r="G273" s="14" t="s">
        <v>50</v>
      </c>
      <c r="H273" s="14" t="s">
        <v>45</v>
      </c>
      <c r="I273" s="16" t="n">
        <v>1210.8</v>
      </c>
      <c r="J273" s="17" t="n">
        <v>0.856</v>
      </c>
      <c r="K273" s="18" t="n">
        <v>109.2</v>
      </c>
      <c r="L273" s="18" t="n">
        <v>1036.58</v>
      </c>
      <c r="M273" s="18" t="n">
        <f aca="false">IF(J273="","",ROUND(MAX(I273*J273,K273),2))</f>
        <v>1036.44</v>
      </c>
      <c r="N273" s="18" t="n">
        <f aca="false">IF(M273="","",ROUND(L273-M273,2))</f>
        <v>0.14</v>
      </c>
      <c r="O273" s="19" t="n">
        <f aca="false">IF(M273="","",N273/M273)</f>
        <v>0.000135077766199684</v>
      </c>
      <c r="P273" s="14" t="str">
        <f aca="false">IF(M273="","SEM TARIFA NO CONTRATO",IF(N273&gt;Resumo!$B$4,"ACIMA DA TABELA",IF(N273&lt;-Resumo!$B$4,"ABAIXO DA TABELA","OK")))</f>
        <v>OK</v>
      </c>
    </row>
    <row r="274" customFormat="false" ht="15" hidden="false" customHeight="false" outlineLevel="0" collapsed="false">
      <c r="A274" s="14" t="s">
        <v>602</v>
      </c>
      <c r="B274" s="14" t="s">
        <v>603</v>
      </c>
      <c r="C274" s="14" t="s">
        <v>22</v>
      </c>
      <c r="D274" s="15" t="n">
        <v>46147</v>
      </c>
      <c r="E274" s="14" t="n">
        <f aca="false">MONTH(D274)</f>
        <v>5</v>
      </c>
      <c r="F274" s="14" t="s">
        <v>56</v>
      </c>
      <c r="G274" s="14" t="s">
        <v>50</v>
      </c>
      <c r="H274" s="14" t="s">
        <v>45</v>
      </c>
      <c r="I274" s="16" t="n">
        <v>351.1</v>
      </c>
      <c r="J274" s="17" t="n">
        <v>0.8988</v>
      </c>
      <c r="K274" s="18" t="n">
        <v>114.66</v>
      </c>
      <c r="L274" s="18" t="n">
        <v>315.72</v>
      </c>
      <c r="M274" s="18" t="n">
        <f aca="false">IF(J274="","",ROUND(MAX(I274*J274,K274),2))</f>
        <v>315.57</v>
      </c>
      <c r="N274" s="18" t="n">
        <f aca="false">IF(M274="","",ROUND(L274-M274,2))</f>
        <v>0.15</v>
      </c>
      <c r="O274" s="19" t="n">
        <f aca="false">IF(M274="","",N274/M274)</f>
        <v>0.000475330354596445</v>
      </c>
      <c r="P274" s="14" t="str">
        <f aca="false">IF(M274="","SEM TARIFA NO CONTRATO",IF(N274&gt;Resumo!$B$4,"ACIMA DA TABELA",IF(N274&lt;-Resumo!$B$4,"ABAIXO DA TABELA","OK")))</f>
        <v>OK</v>
      </c>
    </row>
    <row r="275" customFormat="false" ht="15" hidden="false" customHeight="false" outlineLevel="0" collapsed="false">
      <c r="A275" s="14" t="s">
        <v>604</v>
      </c>
      <c r="B275" s="14" t="s">
        <v>605</v>
      </c>
      <c r="C275" s="14" t="s">
        <v>21</v>
      </c>
      <c r="D275" s="15" t="n">
        <v>46147</v>
      </c>
      <c r="E275" s="14" t="n">
        <f aca="false">MONTH(D275)</f>
        <v>5</v>
      </c>
      <c r="F275" s="14" t="s">
        <v>49</v>
      </c>
      <c r="G275" s="14" t="s">
        <v>50</v>
      </c>
      <c r="H275" s="14" t="s">
        <v>51</v>
      </c>
      <c r="I275" s="16" t="n">
        <v>339.2</v>
      </c>
      <c r="J275" s="17" t="n">
        <v>4.884</v>
      </c>
      <c r="K275" s="18" t="n">
        <v>415.8</v>
      </c>
      <c r="L275" s="18" t="n">
        <v>1656.88</v>
      </c>
      <c r="M275" s="18" t="n">
        <f aca="false">IF(J275="","",ROUND(MAX(I275*J275,K275),2))</f>
        <v>1656.65</v>
      </c>
      <c r="N275" s="18" t="n">
        <f aca="false">IF(M275="","",ROUND(L275-M275,2))</f>
        <v>0.23</v>
      </c>
      <c r="O275" s="19" t="n">
        <f aca="false">IF(M275="","",N275/M275)</f>
        <v>0.00013883439471222</v>
      </c>
      <c r="P275" s="14" t="str">
        <f aca="false">IF(M275="","SEM TARIFA NO CONTRATO",IF(N275&gt;Resumo!$B$4,"ACIMA DA TABELA",IF(N275&lt;-Resumo!$B$4,"ABAIXO DA TABELA","OK")))</f>
        <v>OK</v>
      </c>
    </row>
    <row r="276" customFormat="false" ht="15" hidden="false" customHeight="false" outlineLevel="0" collapsed="false">
      <c r="A276" s="14" t="s">
        <v>606</v>
      </c>
      <c r="B276" s="14" t="s">
        <v>607</v>
      </c>
      <c r="C276" s="14" t="s">
        <v>25</v>
      </c>
      <c r="D276" s="15" t="n">
        <v>46147</v>
      </c>
      <c r="E276" s="14" t="n">
        <f aca="false">MONTH(D276)</f>
        <v>5</v>
      </c>
      <c r="F276" s="14" t="s">
        <v>61</v>
      </c>
      <c r="G276" s="14" t="s">
        <v>50</v>
      </c>
      <c r="H276" s="14" t="s">
        <v>62</v>
      </c>
      <c r="I276" s="16" t="n">
        <v>1508.3</v>
      </c>
      <c r="J276" s="17" t="n">
        <v>0.95</v>
      </c>
      <c r="K276" s="18" t="n">
        <v>114</v>
      </c>
      <c r="L276" s="18" t="n">
        <v>1432.92</v>
      </c>
      <c r="M276" s="18" t="n">
        <f aca="false">IF(J276="","",ROUND(MAX(I276*J276,K276),2))</f>
        <v>1432.89</v>
      </c>
      <c r="N276" s="18" t="n">
        <f aca="false">IF(M276="","",ROUND(L276-M276,2))</f>
        <v>0.03</v>
      </c>
      <c r="O276" s="19" t="n">
        <f aca="false">IF(M276="","",N276/M276)</f>
        <v>2.09367083307162E-005</v>
      </c>
      <c r="P276" s="14" t="str">
        <f aca="false">IF(M276="","SEM TARIFA NO CONTRATO",IF(N276&gt;Resumo!$B$4,"ACIMA DA TABELA",IF(N276&lt;-Resumo!$B$4,"ABAIXO DA TABELA","OK")))</f>
        <v>OK</v>
      </c>
    </row>
    <row r="277" customFormat="false" ht="15" hidden="false" customHeight="false" outlineLevel="0" collapsed="false">
      <c r="A277" s="14" t="s">
        <v>608</v>
      </c>
      <c r="B277" s="14" t="s">
        <v>609</v>
      </c>
      <c r="C277" s="14" t="s">
        <v>21</v>
      </c>
      <c r="D277" s="15" t="n">
        <v>46149</v>
      </c>
      <c r="E277" s="14" t="n">
        <f aca="false">MONTH(D277)</f>
        <v>5</v>
      </c>
      <c r="F277" s="14" t="s">
        <v>73</v>
      </c>
      <c r="G277" s="14" t="s">
        <v>50</v>
      </c>
      <c r="H277" s="14" t="s">
        <v>74</v>
      </c>
      <c r="I277" s="16" t="n">
        <v>981.3</v>
      </c>
      <c r="J277" s="17" t="n">
        <v>1.2584</v>
      </c>
      <c r="K277" s="18" t="n">
        <v>143.88</v>
      </c>
      <c r="L277" s="18" t="n">
        <v>1235.1</v>
      </c>
      <c r="M277" s="18" t="n">
        <f aca="false">IF(J277="","",ROUND(MAX(I277*J277,K277),2))</f>
        <v>1234.87</v>
      </c>
      <c r="N277" s="18" t="n">
        <f aca="false">IF(M277="","",ROUND(L277-M277,2))</f>
        <v>0.23</v>
      </c>
      <c r="O277" s="19" t="n">
        <f aca="false">IF(M277="","",N277/M277)</f>
        <v>0.000186254423542559</v>
      </c>
      <c r="P277" s="14" t="str">
        <f aca="false">IF(M277="","SEM TARIFA NO CONTRATO",IF(N277&gt;Resumo!$B$4,"ACIMA DA TABELA",IF(N277&lt;-Resumo!$B$4,"ABAIXO DA TABELA","OK")))</f>
        <v>OK</v>
      </c>
    </row>
    <row r="278" customFormat="false" ht="15" hidden="false" customHeight="false" outlineLevel="0" collapsed="false">
      <c r="A278" s="14" t="s">
        <v>610</v>
      </c>
      <c r="B278" s="14" t="s">
        <v>611</v>
      </c>
      <c r="C278" s="14" t="s">
        <v>24</v>
      </c>
      <c r="D278" s="15" t="n">
        <v>46150</v>
      </c>
      <c r="E278" s="14" t="n">
        <f aca="false">MONTH(D278)</f>
        <v>5</v>
      </c>
      <c r="F278" s="14" t="s">
        <v>73</v>
      </c>
      <c r="G278" s="14" t="s">
        <v>50</v>
      </c>
      <c r="H278" s="14" t="s">
        <v>74</v>
      </c>
      <c r="I278" s="16" t="n">
        <v>143.3</v>
      </c>
      <c r="J278" s="17" t="n">
        <v>1.144</v>
      </c>
      <c r="K278" s="18" t="n">
        <v>130.8</v>
      </c>
      <c r="L278" s="18" t="n">
        <v>163.89</v>
      </c>
      <c r="M278" s="18" t="n">
        <f aca="false">IF(J278="","",ROUND(MAX(I278*J278,K278),2))</f>
        <v>163.94</v>
      </c>
      <c r="N278" s="18" t="n">
        <f aca="false">IF(M278="","",ROUND(L278-M278,2))</f>
        <v>-0.05</v>
      </c>
      <c r="O278" s="19" t="n">
        <f aca="false">IF(M278="","",N278/M278)</f>
        <v>-0.000304989630352568</v>
      </c>
      <c r="P278" s="14" t="str">
        <f aca="false">IF(M278="","SEM TARIFA NO CONTRATO",IF(N278&gt;Resumo!$B$4,"ACIMA DA TABELA",IF(N278&lt;-Resumo!$B$4,"ABAIXO DA TABELA","OK")))</f>
        <v>OK</v>
      </c>
    </row>
    <row r="279" customFormat="false" ht="15" hidden="false" customHeight="false" outlineLevel="0" collapsed="false">
      <c r="A279" s="14" t="s">
        <v>612</v>
      </c>
      <c r="B279" s="14" t="s">
        <v>613</v>
      </c>
      <c r="C279" s="14" t="s">
        <v>24</v>
      </c>
      <c r="D279" s="15" t="n">
        <v>46150</v>
      </c>
      <c r="E279" s="14" t="n">
        <f aca="false">MONTH(D279)</f>
        <v>5</v>
      </c>
      <c r="F279" s="14" t="s">
        <v>79</v>
      </c>
      <c r="G279" s="14" t="s">
        <v>50</v>
      </c>
      <c r="H279" s="14" t="s">
        <v>46</v>
      </c>
      <c r="I279" s="16" t="n">
        <v>605.5</v>
      </c>
      <c r="J279" s="17" t="n">
        <v>0.36</v>
      </c>
      <c r="K279" s="18" t="n">
        <v>72</v>
      </c>
      <c r="L279" s="18" t="n">
        <v>218.07</v>
      </c>
      <c r="M279" s="18" t="n">
        <f aca="false">IF(J279="","",ROUND(MAX(I279*J279,K279),2))</f>
        <v>217.98</v>
      </c>
      <c r="N279" s="18" t="n">
        <f aca="false">IF(M279="","",ROUND(L279-M279,2))</f>
        <v>0.09</v>
      </c>
      <c r="O279" s="19" t="n">
        <f aca="false">IF(M279="","",N279/M279)</f>
        <v>0.000412881915772089</v>
      </c>
      <c r="P279" s="14" t="str">
        <f aca="false">IF(M279="","SEM TARIFA NO CONTRATO",IF(N279&gt;Resumo!$B$4,"ACIMA DA TABELA",IF(N279&lt;-Resumo!$B$4,"ABAIXO DA TABELA","OK")))</f>
        <v>OK</v>
      </c>
    </row>
    <row r="280" customFormat="false" ht="15" hidden="false" customHeight="false" outlineLevel="0" collapsed="false">
      <c r="A280" s="14" t="s">
        <v>614</v>
      </c>
      <c r="B280" s="14" t="s">
        <v>615</v>
      </c>
      <c r="C280" s="14" t="s">
        <v>21</v>
      </c>
      <c r="D280" s="15" t="n">
        <v>46150</v>
      </c>
      <c r="E280" s="14" t="n">
        <f aca="false">MONTH(D280)</f>
        <v>5</v>
      </c>
      <c r="F280" s="14" t="s">
        <v>49</v>
      </c>
      <c r="G280" s="14" t="s">
        <v>50</v>
      </c>
      <c r="H280" s="14" t="s">
        <v>51</v>
      </c>
      <c r="I280" s="16" t="n">
        <v>1367.1</v>
      </c>
      <c r="J280" s="17" t="n">
        <v>4.884</v>
      </c>
      <c r="K280" s="18" t="n">
        <v>415.8</v>
      </c>
      <c r="L280" s="18" t="n">
        <v>6677.15</v>
      </c>
      <c r="M280" s="18" t="n">
        <f aca="false">IF(J280="","",ROUND(MAX(I280*J280,K280),2))</f>
        <v>6676.92</v>
      </c>
      <c r="N280" s="18" t="n">
        <f aca="false">IF(M280="","",ROUND(L280-M280,2))</f>
        <v>0.23</v>
      </c>
      <c r="O280" s="19" t="n">
        <f aca="false">IF(M280="","",N280/M280)</f>
        <v>3.44470204824979E-005</v>
      </c>
      <c r="P280" s="14" t="str">
        <f aca="false">IF(M280="","SEM TARIFA NO CONTRATO",IF(N280&gt;Resumo!$B$4,"ACIMA DA TABELA",IF(N280&lt;-Resumo!$B$4,"ABAIXO DA TABELA","OK")))</f>
        <v>OK</v>
      </c>
    </row>
    <row r="281" customFormat="false" ht="15" hidden="false" customHeight="false" outlineLevel="0" collapsed="false">
      <c r="A281" s="14" t="s">
        <v>616</v>
      </c>
      <c r="B281" s="14" t="s">
        <v>617</v>
      </c>
      <c r="C281" s="14" t="s">
        <v>25</v>
      </c>
      <c r="D281" s="15" t="n">
        <v>46150</v>
      </c>
      <c r="E281" s="14" t="n">
        <f aca="false">MONTH(D281)</f>
        <v>5</v>
      </c>
      <c r="F281" s="14" t="s">
        <v>88</v>
      </c>
      <c r="G281" s="14" t="s">
        <v>50</v>
      </c>
      <c r="H281" s="14" t="s">
        <v>89</v>
      </c>
      <c r="I281" s="16" t="n">
        <v>1858.7</v>
      </c>
      <c r="J281" s="17" t="n">
        <v>1.6036</v>
      </c>
      <c r="K281" s="18" t="n">
        <v>163.02</v>
      </c>
      <c r="L281" s="18" t="n">
        <v>2980.32</v>
      </c>
      <c r="M281" s="18" t="n">
        <f aca="false">IF(J281="","",ROUND(MAX(I281*J281,K281),2))</f>
        <v>2980.61</v>
      </c>
      <c r="N281" s="18" t="n">
        <f aca="false">IF(M281="","",ROUND(L281-M281,2))</f>
        <v>-0.29</v>
      </c>
      <c r="O281" s="19" t="n">
        <f aca="false">IF(M281="","",N281/M281)</f>
        <v>-9.72955200445546E-005</v>
      </c>
      <c r="P281" s="14" t="str">
        <f aca="false">IF(M281="","SEM TARIFA NO CONTRATO",IF(N281&gt;Resumo!$B$4,"ACIMA DA TABELA",IF(N281&lt;-Resumo!$B$4,"ABAIXO DA TABELA","OK")))</f>
        <v>OK</v>
      </c>
    </row>
    <row r="282" customFormat="false" ht="15" hidden="false" customHeight="false" outlineLevel="0" collapsed="false">
      <c r="A282" s="14" t="s">
        <v>618</v>
      </c>
      <c r="B282" s="14" t="s">
        <v>619</v>
      </c>
      <c r="C282" s="14" t="s">
        <v>22</v>
      </c>
      <c r="D282" s="15" t="n">
        <v>46150</v>
      </c>
      <c r="E282" s="14" t="n">
        <f aca="false">MONTH(D282)</f>
        <v>5</v>
      </c>
      <c r="F282" s="14" t="s">
        <v>73</v>
      </c>
      <c r="G282" s="14" t="s">
        <v>50</v>
      </c>
      <c r="H282" s="14" t="s">
        <v>74</v>
      </c>
      <c r="I282" s="16" t="n">
        <v>85.2</v>
      </c>
      <c r="J282" s="17" t="n">
        <v>1.2012</v>
      </c>
      <c r="K282" s="18" t="n">
        <v>137.34</v>
      </c>
      <c r="L282" s="18" t="n">
        <v>137.02</v>
      </c>
      <c r="M282" s="18" t="n">
        <f aca="false">IF(J282="","",ROUND(MAX(I282*J282,K282),2))</f>
        <v>137.34</v>
      </c>
      <c r="N282" s="18" t="n">
        <f aca="false">IF(M282="","",ROUND(L282-M282,2))</f>
        <v>-0.32</v>
      </c>
      <c r="O282" s="19" t="n">
        <f aca="false">IF(M282="","",N282/M282)</f>
        <v>-0.00232998398136013</v>
      </c>
      <c r="P282" s="14" t="str">
        <f aca="false">IF(M282="","SEM TARIFA NO CONTRATO",IF(N282&gt;Resumo!$B$4,"ACIMA DA TABELA",IF(N282&lt;-Resumo!$B$4,"ABAIXO DA TABELA","OK")))</f>
        <v>OK</v>
      </c>
    </row>
    <row r="283" customFormat="false" ht="15" hidden="false" customHeight="false" outlineLevel="0" collapsed="false">
      <c r="A283" s="14" t="s">
        <v>620</v>
      </c>
      <c r="B283" s="14" t="s">
        <v>621</v>
      </c>
      <c r="C283" s="14" t="s">
        <v>24</v>
      </c>
      <c r="D283" s="15" t="n">
        <v>46150</v>
      </c>
      <c r="E283" s="14" t="n">
        <f aca="false">MONTH(D283)</f>
        <v>5</v>
      </c>
      <c r="F283" s="14" t="s">
        <v>73</v>
      </c>
      <c r="G283" s="14" t="s">
        <v>50</v>
      </c>
      <c r="H283" s="14" t="s">
        <v>74</v>
      </c>
      <c r="I283" s="16" t="n">
        <v>55.6</v>
      </c>
      <c r="J283" s="17" t="n">
        <v>1.144</v>
      </c>
      <c r="K283" s="18" t="n">
        <v>130.8</v>
      </c>
      <c r="L283" s="18" t="n">
        <v>130.47</v>
      </c>
      <c r="M283" s="18" t="n">
        <f aca="false">IF(J283="","",ROUND(MAX(I283*J283,K283),2))</f>
        <v>130.8</v>
      </c>
      <c r="N283" s="18" t="n">
        <f aca="false">IF(M283="","",ROUND(L283-M283,2))</f>
        <v>-0.33</v>
      </c>
      <c r="O283" s="19" t="n">
        <f aca="false">IF(M283="","",N283/M283)</f>
        <v>-0.00252293577981651</v>
      </c>
      <c r="P283" s="14" t="str">
        <f aca="false">IF(M283="","SEM TARIFA NO CONTRATO",IF(N283&gt;Resumo!$B$4,"ACIMA DA TABELA",IF(N283&lt;-Resumo!$B$4,"ABAIXO DA TABELA","OK")))</f>
        <v>OK</v>
      </c>
    </row>
    <row r="284" customFormat="false" ht="15" hidden="false" customHeight="false" outlineLevel="0" collapsed="false">
      <c r="A284" s="14" t="s">
        <v>622</v>
      </c>
      <c r="B284" s="14" t="s">
        <v>623</v>
      </c>
      <c r="C284" s="14" t="s">
        <v>23</v>
      </c>
      <c r="D284" s="15" t="n">
        <v>46151</v>
      </c>
      <c r="E284" s="14" t="n">
        <f aca="false">MONTH(D284)</f>
        <v>5</v>
      </c>
      <c r="F284" s="14" t="s">
        <v>44</v>
      </c>
      <c r="G284" s="14" t="s">
        <v>45</v>
      </c>
      <c r="H284" s="14" t="s">
        <v>46</v>
      </c>
      <c r="I284" s="16" t="n">
        <v>855.4</v>
      </c>
      <c r="J284" s="17" t="n">
        <v>0.7875</v>
      </c>
      <c r="K284" s="18" t="n">
        <v>100.46</v>
      </c>
      <c r="L284" s="18" t="n">
        <v>673.66</v>
      </c>
      <c r="M284" s="18" t="n">
        <f aca="false">IF(J284="","",ROUND(MAX(I284*J284,K284),2))</f>
        <v>673.63</v>
      </c>
      <c r="N284" s="18" t="n">
        <f aca="false">IF(M284="","",ROUND(L284-M284,2))</f>
        <v>0.03</v>
      </c>
      <c r="O284" s="19" t="n">
        <f aca="false">IF(M284="","",N284/M284)</f>
        <v>4.45348336623963E-005</v>
      </c>
      <c r="P284" s="14" t="str">
        <f aca="false">IF(M284="","SEM TARIFA NO CONTRATO",IF(N284&gt;Resumo!$B$4,"ACIMA DA TABELA",IF(N284&lt;-Resumo!$B$4,"ABAIXO DA TABELA","OK")))</f>
        <v>OK</v>
      </c>
    </row>
    <row r="285" customFormat="false" ht="15" hidden="false" customHeight="false" outlineLevel="0" collapsed="false">
      <c r="A285" s="14" t="s">
        <v>624</v>
      </c>
      <c r="B285" s="14" t="s">
        <v>625</v>
      </c>
      <c r="C285" s="14" t="s">
        <v>21</v>
      </c>
      <c r="D285" s="15" t="n">
        <v>46151</v>
      </c>
      <c r="E285" s="14" t="n">
        <f aca="false">MONTH(D285)</f>
        <v>5</v>
      </c>
      <c r="F285" s="14" t="s">
        <v>61</v>
      </c>
      <c r="G285" s="14" t="s">
        <v>50</v>
      </c>
      <c r="H285" s="14" t="s">
        <v>62</v>
      </c>
      <c r="I285" s="16" t="n">
        <v>1338.4</v>
      </c>
      <c r="J285" s="17" t="n">
        <v>1.1</v>
      </c>
      <c r="K285" s="18" t="n">
        <v>132</v>
      </c>
      <c r="L285" s="18" t="n">
        <v>1472.02</v>
      </c>
      <c r="M285" s="18" t="n">
        <f aca="false">IF(J285="","",ROUND(MAX(I285*J285,K285),2))</f>
        <v>1472.24</v>
      </c>
      <c r="N285" s="18" t="n">
        <f aca="false">IF(M285="","",ROUND(L285-M285,2))</f>
        <v>-0.22</v>
      </c>
      <c r="O285" s="19" t="n">
        <f aca="false">IF(M285="","",N285/M285)</f>
        <v>-0.000149432157800359</v>
      </c>
      <c r="P285" s="14" t="str">
        <f aca="false">IF(M285="","SEM TARIFA NO CONTRATO",IF(N285&gt;Resumo!$B$4,"ACIMA DA TABELA",IF(N285&lt;-Resumo!$B$4,"ABAIXO DA TABELA","OK")))</f>
        <v>OK</v>
      </c>
    </row>
    <row r="286" customFormat="false" ht="15" hidden="false" customHeight="false" outlineLevel="0" collapsed="false">
      <c r="A286" s="14" t="s">
        <v>626</v>
      </c>
      <c r="B286" s="14" t="s">
        <v>627</v>
      </c>
      <c r="C286" s="14" t="s">
        <v>24</v>
      </c>
      <c r="D286" s="15" t="n">
        <v>46151</v>
      </c>
      <c r="E286" s="14" t="n">
        <f aca="false">MONTH(D286)</f>
        <v>5</v>
      </c>
      <c r="F286" s="14" t="s">
        <v>61</v>
      </c>
      <c r="G286" s="14" t="s">
        <v>50</v>
      </c>
      <c r="H286" s="14" t="s">
        <v>62</v>
      </c>
      <c r="I286" s="16" t="n">
        <v>1798.7</v>
      </c>
      <c r="J286" s="17" t="n">
        <v>1</v>
      </c>
      <c r="K286" s="18" t="n">
        <v>120</v>
      </c>
      <c r="L286" s="18" t="n">
        <v>1798.32</v>
      </c>
      <c r="M286" s="18" t="n">
        <f aca="false">IF(J286="","",ROUND(MAX(I286*J286,K286),2))</f>
        <v>1798.7</v>
      </c>
      <c r="N286" s="18" t="n">
        <f aca="false">IF(M286="","",ROUND(L286-M286,2))</f>
        <v>-0.38</v>
      </c>
      <c r="O286" s="19" t="n">
        <f aca="false">IF(M286="","",N286/M286)</f>
        <v>-0.000211263690443098</v>
      </c>
      <c r="P286" s="14" t="str">
        <f aca="false">IF(M286="","SEM TARIFA NO CONTRATO",IF(N286&gt;Resumo!$B$4,"ACIMA DA TABELA",IF(N286&lt;-Resumo!$B$4,"ABAIXO DA TABELA","OK")))</f>
        <v>OK</v>
      </c>
    </row>
    <row r="287" customFormat="false" ht="15" hidden="false" customHeight="false" outlineLevel="0" collapsed="false">
      <c r="A287" s="14" t="s">
        <v>628</v>
      </c>
      <c r="B287" s="14" t="s">
        <v>629</v>
      </c>
      <c r="C287" s="14" t="s">
        <v>23</v>
      </c>
      <c r="D287" s="15" t="n">
        <v>46151</v>
      </c>
      <c r="E287" s="14" t="n">
        <f aca="false">MONTH(D287)</f>
        <v>5</v>
      </c>
      <c r="F287" s="14" t="s">
        <v>79</v>
      </c>
      <c r="G287" s="14" t="s">
        <v>50</v>
      </c>
      <c r="H287" s="14" t="s">
        <v>46</v>
      </c>
      <c r="I287" s="16" t="n">
        <v>227.5</v>
      </c>
      <c r="J287" s="17" t="n">
        <v>0.3312</v>
      </c>
      <c r="K287" s="18" t="n">
        <v>66.24</v>
      </c>
      <c r="L287" s="18" t="n">
        <v>75.52</v>
      </c>
      <c r="M287" s="18" t="n">
        <f aca="false">IF(J287="","",ROUND(MAX(I287*J287,K287),2))</f>
        <v>75.35</v>
      </c>
      <c r="N287" s="18" t="n">
        <f aca="false">IF(M287="","",ROUND(L287-M287,2))</f>
        <v>0.17</v>
      </c>
      <c r="O287" s="19" t="n">
        <f aca="false">IF(M287="","",N287/M287)</f>
        <v>0.00225613802256138</v>
      </c>
      <c r="P287" s="14" t="str">
        <f aca="false">IF(M287="","SEM TARIFA NO CONTRATO",IF(N287&gt;Resumo!$B$4,"ACIMA DA TABELA",IF(N287&lt;-Resumo!$B$4,"ABAIXO DA TABELA","OK")))</f>
        <v>OK</v>
      </c>
    </row>
    <row r="288" customFormat="false" ht="15" hidden="false" customHeight="false" outlineLevel="0" collapsed="false">
      <c r="A288" s="14" t="s">
        <v>630</v>
      </c>
      <c r="B288" s="14" t="s">
        <v>631</v>
      </c>
      <c r="C288" s="14" t="s">
        <v>24</v>
      </c>
      <c r="D288" s="15" t="n">
        <v>46152</v>
      </c>
      <c r="E288" s="14" t="n">
        <f aca="false">MONTH(D288)</f>
        <v>5</v>
      </c>
      <c r="F288" s="14" t="s">
        <v>56</v>
      </c>
      <c r="G288" s="14" t="s">
        <v>50</v>
      </c>
      <c r="H288" s="14" t="s">
        <v>45</v>
      </c>
      <c r="I288" s="16" t="n">
        <v>1307.9</v>
      </c>
      <c r="J288" s="17" t="n">
        <v>0.856</v>
      </c>
      <c r="K288" s="18" t="n">
        <v>109.2</v>
      </c>
      <c r="L288" s="18" t="n">
        <v>1334.86</v>
      </c>
      <c r="M288" s="18" t="n">
        <f aca="false">IF(J288="","",ROUND(MAX(I288*J288,K288),2))</f>
        <v>1119.56</v>
      </c>
      <c r="N288" s="18" t="n">
        <f aca="false">IF(M288="","",ROUND(L288-M288,2))</f>
        <v>215.3</v>
      </c>
      <c r="O288" s="19" t="n">
        <f aca="false">IF(M288="","",N288/M288)</f>
        <v>0.192307692307692</v>
      </c>
      <c r="P288" s="14" t="str">
        <f aca="false">IF(M288="","SEM TARIFA NO CONTRATO",IF(N288&gt;Resumo!$B$4,"ACIMA DA TABELA",IF(N288&lt;-Resumo!$B$4,"ABAIXO DA TABELA","OK")))</f>
        <v>ACIMA DA TABELA</v>
      </c>
    </row>
    <row r="289" customFormat="false" ht="15" hidden="false" customHeight="false" outlineLevel="0" collapsed="false">
      <c r="A289" s="14" t="s">
        <v>632</v>
      </c>
      <c r="B289" s="14" t="s">
        <v>633</v>
      </c>
      <c r="C289" s="14" t="s">
        <v>25</v>
      </c>
      <c r="D289" s="15" t="n">
        <v>46152</v>
      </c>
      <c r="E289" s="14" t="n">
        <f aca="false">MONTH(D289)</f>
        <v>5</v>
      </c>
      <c r="F289" s="14" t="s">
        <v>73</v>
      </c>
      <c r="G289" s="14" t="s">
        <v>50</v>
      </c>
      <c r="H289" s="14" t="s">
        <v>74</v>
      </c>
      <c r="I289" s="16" t="n">
        <v>892.4</v>
      </c>
      <c r="J289" s="17" t="n">
        <v>1.0868</v>
      </c>
      <c r="K289" s="18" t="n">
        <v>124.26</v>
      </c>
      <c r="L289" s="18" t="n">
        <v>969.51</v>
      </c>
      <c r="M289" s="18" t="n">
        <f aca="false">IF(J289="","",ROUND(MAX(I289*J289,K289),2))</f>
        <v>969.86</v>
      </c>
      <c r="N289" s="18" t="n">
        <f aca="false">IF(M289="","",ROUND(L289-M289,2))</f>
        <v>-0.35</v>
      </c>
      <c r="O289" s="19" t="n">
        <f aca="false">IF(M289="","",N289/M289)</f>
        <v>-0.000360876827583363</v>
      </c>
      <c r="P289" s="14" t="str">
        <f aca="false">IF(M289="","SEM TARIFA NO CONTRATO",IF(N289&gt;Resumo!$B$4,"ACIMA DA TABELA",IF(N289&lt;-Resumo!$B$4,"ABAIXO DA TABELA","OK")))</f>
        <v>OK</v>
      </c>
    </row>
    <row r="290" customFormat="false" ht="15" hidden="false" customHeight="false" outlineLevel="0" collapsed="false">
      <c r="A290" s="14" t="s">
        <v>634</v>
      </c>
      <c r="B290" s="14" t="s">
        <v>635</v>
      </c>
      <c r="C290" s="14" t="s">
        <v>24</v>
      </c>
      <c r="D290" s="15" t="n">
        <v>46152</v>
      </c>
      <c r="E290" s="14" t="n">
        <f aca="false">MONTH(D290)</f>
        <v>5</v>
      </c>
      <c r="F290" s="14" t="s">
        <v>56</v>
      </c>
      <c r="G290" s="14" t="s">
        <v>50</v>
      </c>
      <c r="H290" s="14" t="s">
        <v>45</v>
      </c>
      <c r="I290" s="16" t="n">
        <v>222.6</v>
      </c>
      <c r="J290" s="17" t="n">
        <v>0.856</v>
      </c>
      <c r="K290" s="18" t="n">
        <v>109.2</v>
      </c>
      <c r="L290" s="18" t="n">
        <v>190.6</v>
      </c>
      <c r="M290" s="18" t="n">
        <f aca="false">IF(J290="","",ROUND(MAX(I290*J290,K290),2))</f>
        <v>190.55</v>
      </c>
      <c r="N290" s="18" t="n">
        <f aca="false">IF(M290="","",ROUND(L290-M290,2))</f>
        <v>0.05</v>
      </c>
      <c r="O290" s="19" t="n">
        <f aca="false">IF(M290="","",N290/M290)</f>
        <v>0.000262398320650748</v>
      </c>
      <c r="P290" s="14" t="str">
        <f aca="false">IF(M290="","SEM TARIFA NO CONTRATO",IF(N290&gt;Resumo!$B$4,"ACIMA DA TABELA",IF(N290&lt;-Resumo!$B$4,"ABAIXO DA TABELA","OK")))</f>
        <v>OK</v>
      </c>
    </row>
    <row r="291" customFormat="false" ht="15" hidden="false" customHeight="false" outlineLevel="0" collapsed="false">
      <c r="A291" s="14" t="s">
        <v>636</v>
      </c>
      <c r="B291" s="14" t="s">
        <v>637</v>
      </c>
      <c r="C291" s="14" t="s">
        <v>23</v>
      </c>
      <c r="D291" s="15" t="n">
        <v>46153</v>
      </c>
      <c r="E291" s="14" t="n">
        <f aca="false">MONTH(D291)</f>
        <v>5</v>
      </c>
      <c r="F291" s="14" t="s">
        <v>56</v>
      </c>
      <c r="G291" s="14" t="s">
        <v>50</v>
      </c>
      <c r="H291" s="14" t="s">
        <v>45</v>
      </c>
      <c r="I291" s="16" t="n">
        <v>141.5</v>
      </c>
      <c r="J291" s="17" t="n">
        <v>0.7875</v>
      </c>
      <c r="K291" s="18" t="n">
        <v>100.46</v>
      </c>
      <c r="L291" s="18" t="n">
        <v>111.45</v>
      </c>
      <c r="M291" s="18" t="n">
        <f aca="false">IF(J291="","",ROUND(MAX(I291*J291,K291),2))</f>
        <v>111.43</v>
      </c>
      <c r="N291" s="18" t="n">
        <f aca="false">IF(M291="","",ROUND(L291-M291,2))</f>
        <v>0.02</v>
      </c>
      <c r="O291" s="19" t="n">
        <f aca="false">IF(M291="","",N291/M291)</f>
        <v>0.000179484878398995</v>
      </c>
      <c r="P291" s="14" t="str">
        <f aca="false">IF(M291="","SEM TARIFA NO CONTRATO",IF(N291&gt;Resumo!$B$4,"ACIMA DA TABELA",IF(N291&lt;-Resumo!$B$4,"ABAIXO DA TABELA","OK")))</f>
        <v>OK</v>
      </c>
    </row>
    <row r="292" customFormat="false" ht="15" hidden="false" customHeight="false" outlineLevel="0" collapsed="false">
      <c r="A292" s="14" t="s">
        <v>638</v>
      </c>
      <c r="B292" s="14" t="s">
        <v>639</v>
      </c>
      <c r="C292" s="14" t="s">
        <v>22</v>
      </c>
      <c r="D292" s="15" t="n">
        <v>46153</v>
      </c>
      <c r="E292" s="14" t="n">
        <f aca="false">MONTH(D292)</f>
        <v>5</v>
      </c>
      <c r="F292" s="14" t="s">
        <v>118</v>
      </c>
      <c r="G292" s="14" t="s">
        <v>50</v>
      </c>
      <c r="H292" s="14" t="s">
        <v>119</v>
      </c>
      <c r="I292" s="16" t="n">
        <v>3368.2</v>
      </c>
      <c r="J292" s="17" t="n">
        <v>3.5028</v>
      </c>
      <c r="K292" s="18" t="n">
        <v>309.96</v>
      </c>
      <c r="L292" s="18" t="n">
        <v>12920.42</v>
      </c>
      <c r="M292" s="18" t="n">
        <f aca="false">IF(J292="","",ROUND(MAX(I292*J292,K292),2))</f>
        <v>11798.13</v>
      </c>
      <c r="N292" s="18" t="n">
        <f aca="false">IF(M292="","",ROUND(L292-M292,2))</f>
        <v>1122.29</v>
      </c>
      <c r="O292" s="19" t="n">
        <f aca="false">IF(M292="","",N292/M292)</f>
        <v>0.0951243968323794</v>
      </c>
      <c r="P292" s="14" t="str">
        <f aca="false">IF(M292="","SEM TARIFA NO CONTRATO",IF(N292&gt;Resumo!$B$4,"ACIMA DA TABELA",IF(N292&lt;-Resumo!$B$4,"ABAIXO DA TABELA","OK")))</f>
        <v>ACIMA DA TABELA</v>
      </c>
    </row>
    <row r="293" customFormat="false" ht="15" hidden="false" customHeight="false" outlineLevel="0" collapsed="false">
      <c r="A293" s="14" t="s">
        <v>640</v>
      </c>
      <c r="B293" s="14" t="s">
        <v>641</v>
      </c>
      <c r="C293" s="14" t="s">
        <v>25</v>
      </c>
      <c r="D293" s="15" t="n">
        <v>46154</v>
      </c>
      <c r="E293" s="14" t="n">
        <f aca="false">MONTH(D293)</f>
        <v>5</v>
      </c>
      <c r="F293" s="14" t="s">
        <v>88</v>
      </c>
      <c r="G293" s="14" t="s">
        <v>50</v>
      </c>
      <c r="H293" s="14" t="s">
        <v>89</v>
      </c>
      <c r="I293" s="16" t="n">
        <v>327.3</v>
      </c>
      <c r="J293" s="17" t="n">
        <v>1.6036</v>
      </c>
      <c r="K293" s="18" t="n">
        <v>163.02</v>
      </c>
      <c r="L293" s="18" t="n">
        <v>524.74</v>
      </c>
      <c r="M293" s="18" t="n">
        <f aca="false">IF(J293="","",ROUND(MAX(I293*J293,K293),2))</f>
        <v>524.86</v>
      </c>
      <c r="N293" s="18" t="n">
        <f aca="false">IF(M293="","",ROUND(L293-M293,2))</f>
        <v>-0.12</v>
      </c>
      <c r="O293" s="19" t="n">
        <f aca="false">IF(M293="","",N293/M293)</f>
        <v>-0.000228632397210685</v>
      </c>
      <c r="P293" s="14" t="str">
        <f aca="false">IF(M293="","SEM TARIFA NO CONTRATO",IF(N293&gt;Resumo!$B$4,"ACIMA DA TABELA",IF(N293&lt;-Resumo!$B$4,"ABAIXO DA TABELA","OK")))</f>
        <v>OK</v>
      </c>
    </row>
    <row r="294" customFormat="false" ht="15" hidden="false" customHeight="false" outlineLevel="0" collapsed="false">
      <c r="A294" s="14" t="s">
        <v>642</v>
      </c>
      <c r="B294" s="14" t="s">
        <v>643</v>
      </c>
      <c r="C294" s="14" t="s">
        <v>23</v>
      </c>
      <c r="D294" s="15" t="n">
        <v>46155</v>
      </c>
      <c r="E294" s="14" t="n">
        <f aca="false">MONTH(D294)</f>
        <v>5</v>
      </c>
      <c r="F294" s="14" t="s">
        <v>49</v>
      </c>
      <c r="G294" s="14" t="s">
        <v>50</v>
      </c>
      <c r="H294" s="14" t="s">
        <v>51</v>
      </c>
      <c r="I294" s="16" t="n">
        <v>5583.3</v>
      </c>
      <c r="J294" s="17" t="n">
        <v>4.0848</v>
      </c>
      <c r="K294" s="18" t="n">
        <v>347.76</v>
      </c>
      <c r="L294" s="18" t="n">
        <v>22806.49</v>
      </c>
      <c r="M294" s="18" t="n">
        <f aca="false">IF(J294="","",ROUND(MAX(I294*J294,K294),2))</f>
        <v>22806.66</v>
      </c>
      <c r="N294" s="18" t="n">
        <f aca="false">IF(M294="","",ROUND(L294-M294,2))</f>
        <v>-0.17</v>
      </c>
      <c r="O294" s="19" t="n">
        <f aca="false">IF(M294="","",N294/M294)</f>
        <v>-7.45396300905087E-006</v>
      </c>
      <c r="P294" s="14" t="str">
        <f aca="false">IF(M294="","SEM TARIFA NO CONTRATO",IF(N294&gt;Resumo!$B$4,"ACIMA DA TABELA",IF(N294&lt;-Resumo!$B$4,"ABAIXO DA TABELA","OK")))</f>
        <v>OK</v>
      </c>
    </row>
    <row r="295" customFormat="false" ht="15" hidden="false" customHeight="false" outlineLevel="0" collapsed="false">
      <c r="A295" s="14" t="s">
        <v>644</v>
      </c>
      <c r="B295" s="14" t="s">
        <v>645</v>
      </c>
      <c r="C295" s="14" t="s">
        <v>22</v>
      </c>
      <c r="D295" s="15" t="n">
        <v>46155</v>
      </c>
      <c r="E295" s="14" t="n">
        <f aca="false">MONTH(D295)</f>
        <v>5</v>
      </c>
      <c r="F295" s="14" t="s">
        <v>104</v>
      </c>
      <c r="G295" s="14" t="s">
        <v>45</v>
      </c>
      <c r="H295" s="14" t="s">
        <v>68</v>
      </c>
      <c r="I295" s="16" t="n">
        <v>273.4</v>
      </c>
      <c r="J295" s="17" t="n">
        <v>1.386</v>
      </c>
      <c r="K295" s="18" t="n">
        <v>151.2</v>
      </c>
      <c r="L295" s="18" t="n">
        <v>379.16</v>
      </c>
      <c r="M295" s="18" t="n">
        <f aca="false">IF(J295="","",ROUND(MAX(I295*J295,K295),2))</f>
        <v>378.93</v>
      </c>
      <c r="N295" s="18" t="n">
        <f aca="false">IF(M295="","",ROUND(L295-M295,2))</f>
        <v>0.23</v>
      </c>
      <c r="O295" s="19" t="n">
        <f aca="false">IF(M295="","",N295/M295)</f>
        <v>0.000606972264006545</v>
      </c>
      <c r="P295" s="14" t="str">
        <f aca="false">IF(M295="","SEM TARIFA NO CONTRATO",IF(N295&gt;Resumo!$B$4,"ACIMA DA TABELA",IF(N295&lt;-Resumo!$B$4,"ABAIXO DA TABELA","OK")))</f>
        <v>OK</v>
      </c>
    </row>
    <row r="296" customFormat="false" ht="15" hidden="false" customHeight="false" outlineLevel="0" collapsed="false">
      <c r="A296" s="14" t="s">
        <v>646</v>
      </c>
      <c r="B296" s="14" t="s">
        <v>647</v>
      </c>
      <c r="C296" s="14" t="s">
        <v>23</v>
      </c>
      <c r="D296" s="15" t="n">
        <v>46155</v>
      </c>
      <c r="E296" s="14" t="n">
        <f aca="false">MONTH(D296)</f>
        <v>5</v>
      </c>
      <c r="F296" s="14" t="s">
        <v>79</v>
      </c>
      <c r="G296" s="14" t="s">
        <v>50</v>
      </c>
      <c r="H296" s="14" t="s">
        <v>46</v>
      </c>
      <c r="I296" s="16" t="n">
        <v>1606.7</v>
      </c>
      <c r="J296" s="17" t="n">
        <v>0.3312</v>
      </c>
      <c r="K296" s="18" t="n">
        <v>66.24</v>
      </c>
      <c r="L296" s="18" t="n">
        <v>531.81</v>
      </c>
      <c r="M296" s="18" t="n">
        <f aca="false">IF(J296="","",ROUND(MAX(I296*J296,K296),2))</f>
        <v>532.14</v>
      </c>
      <c r="N296" s="18" t="n">
        <f aca="false">IF(M296="","",ROUND(L296-M296,2))</f>
        <v>-0.33</v>
      </c>
      <c r="O296" s="19" t="n">
        <f aca="false">IF(M296="","",N296/M296)</f>
        <v>-0.000620137557785545</v>
      </c>
      <c r="P296" s="14" t="str">
        <f aca="false">IF(M296="","SEM TARIFA NO CONTRATO",IF(N296&gt;Resumo!$B$4,"ACIMA DA TABELA",IF(N296&lt;-Resumo!$B$4,"ABAIXO DA TABELA","OK")))</f>
        <v>OK</v>
      </c>
    </row>
    <row r="297" customFormat="false" ht="15" hidden="false" customHeight="false" outlineLevel="0" collapsed="false">
      <c r="A297" s="14" t="s">
        <v>648</v>
      </c>
      <c r="B297" s="14" t="s">
        <v>649</v>
      </c>
      <c r="C297" s="14" t="s">
        <v>21</v>
      </c>
      <c r="D297" s="15" t="n">
        <v>46155</v>
      </c>
      <c r="E297" s="14" t="n">
        <f aca="false">MONTH(D297)</f>
        <v>5</v>
      </c>
      <c r="F297" s="14" t="s">
        <v>49</v>
      </c>
      <c r="G297" s="14" t="s">
        <v>50</v>
      </c>
      <c r="H297" s="14" t="s">
        <v>51</v>
      </c>
      <c r="I297" s="16" t="n">
        <v>177.7</v>
      </c>
      <c r="J297" s="17" t="n">
        <v>4.884</v>
      </c>
      <c r="K297" s="18" t="n">
        <v>415.8</v>
      </c>
      <c r="L297" s="18" t="n">
        <v>979.86</v>
      </c>
      <c r="M297" s="18" t="n">
        <f aca="false">IF(J297="","",ROUND(MAX(I297*J297,K297),2))</f>
        <v>867.89</v>
      </c>
      <c r="N297" s="18" t="n">
        <f aca="false">IF(M297="","",ROUND(L297-M297,2))</f>
        <v>111.97</v>
      </c>
      <c r="O297" s="19" t="n">
        <f aca="false">IF(M297="","",N297/M297)</f>
        <v>0.129014045558769</v>
      </c>
      <c r="P297" s="14" t="str">
        <f aca="false">IF(M297="","SEM TARIFA NO CONTRATO",IF(N297&gt;Resumo!$B$4,"ACIMA DA TABELA",IF(N297&lt;-Resumo!$B$4,"ABAIXO DA TABELA","OK")))</f>
        <v>ACIMA DA TABELA</v>
      </c>
    </row>
    <row r="298" customFormat="false" ht="15" hidden="false" customHeight="false" outlineLevel="0" collapsed="false">
      <c r="A298" s="14" t="s">
        <v>650</v>
      </c>
      <c r="B298" s="14" t="s">
        <v>651</v>
      </c>
      <c r="C298" s="14" t="s">
        <v>24</v>
      </c>
      <c r="D298" s="15" t="n">
        <v>46155</v>
      </c>
      <c r="E298" s="14" t="n">
        <f aca="false">MONTH(D298)</f>
        <v>5</v>
      </c>
      <c r="F298" s="14" t="s">
        <v>61</v>
      </c>
      <c r="G298" s="14" t="s">
        <v>50</v>
      </c>
      <c r="H298" s="14" t="s">
        <v>62</v>
      </c>
      <c r="I298" s="16" t="n">
        <v>1084</v>
      </c>
      <c r="J298" s="17" t="n">
        <v>1</v>
      </c>
      <c r="K298" s="18" t="n">
        <v>120</v>
      </c>
      <c r="L298" s="18" t="n">
        <v>1084.33</v>
      </c>
      <c r="M298" s="18" t="n">
        <f aca="false">IF(J298="","",ROUND(MAX(I298*J298,K298),2))</f>
        <v>1084</v>
      </c>
      <c r="N298" s="18" t="n">
        <f aca="false">IF(M298="","",ROUND(L298-M298,2))</f>
        <v>0.33</v>
      </c>
      <c r="O298" s="19" t="n">
        <f aca="false">IF(M298="","",N298/M298)</f>
        <v>0.000304428044280443</v>
      </c>
      <c r="P298" s="14" t="str">
        <f aca="false">IF(M298="","SEM TARIFA NO CONTRATO",IF(N298&gt;Resumo!$B$4,"ACIMA DA TABELA",IF(N298&lt;-Resumo!$B$4,"ABAIXO DA TABELA","OK")))</f>
        <v>OK</v>
      </c>
    </row>
    <row r="299" customFormat="false" ht="15" hidden="false" customHeight="false" outlineLevel="0" collapsed="false">
      <c r="A299" s="14" t="s">
        <v>652</v>
      </c>
      <c r="B299" s="14" t="s">
        <v>653</v>
      </c>
      <c r="C299" s="14" t="s">
        <v>25</v>
      </c>
      <c r="D299" s="15" t="n">
        <v>46155</v>
      </c>
      <c r="E299" s="14" t="n">
        <f aca="false">MONTH(D299)</f>
        <v>5</v>
      </c>
      <c r="F299" s="14" t="s">
        <v>88</v>
      </c>
      <c r="G299" s="14" t="s">
        <v>50</v>
      </c>
      <c r="H299" s="14" t="s">
        <v>89</v>
      </c>
      <c r="I299" s="16" t="n">
        <v>255.9</v>
      </c>
      <c r="J299" s="17" t="n">
        <v>1.6036</v>
      </c>
      <c r="K299" s="18" t="n">
        <v>163.02</v>
      </c>
      <c r="L299" s="18" t="n">
        <v>410.18</v>
      </c>
      <c r="M299" s="18" t="n">
        <f aca="false">IF(J299="","",ROUND(MAX(I299*J299,K299),2))</f>
        <v>410.36</v>
      </c>
      <c r="N299" s="18" t="n">
        <f aca="false">IF(M299="","",ROUND(L299-M299,2))</f>
        <v>-0.18</v>
      </c>
      <c r="O299" s="19" t="n">
        <f aca="false">IF(M299="","",N299/M299)</f>
        <v>-0.000438639243590993</v>
      </c>
      <c r="P299" s="14" t="str">
        <f aca="false">IF(M299="","SEM TARIFA NO CONTRATO",IF(N299&gt;Resumo!$B$4,"ACIMA DA TABELA",IF(N299&lt;-Resumo!$B$4,"ABAIXO DA TABELA","OK")))</f>
        <v>OK</v>
      </c>
    </row>
    <row r="300" customFormat="false" ht="15" hidden="false" customHeight="false" outlineLevel="0" collapsed="false">
      <c r="A300" s="14" t="s">
        <v>654</v>
      </c>
      <c r="B300" s="14" t="s">
        <v>655</v>
      </c>
      <c r="C300" s="14" t="s">
        <v>21</v>
      </c>
      <c r="D300" s="15" t="n">
        <v>46156</v>
      </c>
      <c r="E300" s="14" t="n">
        <f aca="false">MONTH(D300)</f>
        <v>5</v>
      </c>
      <c r="F300" s="14" t="s">
        <v>67</v>
      </c>
      <c r="G300" s="14" t="s">
        <v>50</v>
      </c>
      <c r="H300" s="14" t="s">
        <v>68</v>
      </c>
      <c r="I300" s="16" t="n">
        <v>735.9</v>
      </c>
      <c r="J300" s="17" t="n">
        <v>2.156</v>
      </c>
      <c r="K300" s="18" t="n">
        <v>211.2</v>
      </c>
      <c r="L300" s="18" t="n">
        <v>1586.69</v>
      </c>
      <c r="M300" s="18" t="n">
        <f aca="false">IF(J300="","",ROUND(MAX(I300*J300,K300),2))</f>
        <v>1586.6</v>
      </c>
      <c r="N300" s="18" t="n">
        <f aca="false">IF(M300="","",ROUND(L300-M300,2))</f>
        <v>0.09</v>
      </c>
      <c r="O300" s="19" t="n">
        <f aca="false">IF(M300="","",N300/M300)</f>
        <v>5.67250724820371E-005</v>
      </c>
      <c r="P300" s="14" t="str">
        <f aca="false">IF(M300="","SEM TARIFA NO CONTRATO",IF(N300&gt;Resumo!$B$4,"ACIMA DA TABELA",IF(N300&lt;-Resumo!$B$4,"ABAIXO DA TABELA","OK")))</f>
        <v>OK</v>
      </c>
    </row>
    <row r="301" customFormat="false" ht="15" hidden="false" customHeight="false" outlineLevel="0" collapsed="false">
      <c r="A301" s="14" t="s">
        <v>656</v>
      </c>
      <c r="B301" s="14" t="s">
        <v>657</v>
      </c>
      <c r="C301" s="14" t="s">
        <v>24</v>
      </c>
      <c r="D301" s="15" t="n">
        <v>46156</v>
      </c>
      <c r="E301" s="14" t="n">
        <f aca="false">MONTH(D301)</f>
        <v>5</v>
      </c>
      <c r="F301" s="14" t="s">
        <v>79</v>
      </c>
      <c r="G301" s="14" t="s">
        <v>50</v>
      </c>
      <c r="H301" s="14" t="s">
        <v>46</v>
      </c>
      <c r="I301" s="16" t="n">
        <v>406.8</v>
      </c>
      <c r="J301" s="17" t="n">
        <v>0.36</v>
      </c>
      <c r="K301" s="18" t="n">
        <v>72</v>
      </c>
      <c r="L301" s="18" t="n">
        <v>146.34</v>
      </c>
      <c r="M301" s="18" t="n">
        <f aca="false">IF(J301="","",ROUND(MAX(I301*J301,K301),2))</f>
        <v>146.45</v>
      </c>
      <c r="N301" s="18" t="n">
        <f aca="false">IF(M301="","",ROUND(L301-M301,2))</f>
        <v>-0.11</v>
      </c>
      <c r="O301" s="19" t="n">
        <f aca="false">IF(M301="","",N301/M301)</f>
        <v>-0.000751109593717993</v>
      </c>
      <c r="P301" s="14" t="str">
        <f aca="false">IF(M301="","SEM TARIFA NO CONTRATO",IF(N301&gt;Resumo!$B$4,"ACIMA DA TABELA",IF(N301&lt;-Resumo!$B$4,"ABAIXO DA TABELA","OK")))</f>
        <v>OK</v>
      </c>
    </row>
    <row r="302" customFormat="false" ht="15" hidden="false" customHeight="false" outlineLevel="0" collapsed="false">
      <c r="A302" s="14" t="s">
        <v>658</v>
      </c>
      <c r="B302" s="14" t="s">
        <v>659</v>
      </c>
      <c r="C302" s="14" t="s">
        <v>21</v>
      </c>
      <c r="D302" s="15" t="n">
        <v>46157</v>
      </c>
      <c r="E302" s="14" t="n">
        <f aca="false">MONTH(D302)</f>
        <v>5</v>
      </c>
      <c r="F302" s="14" t="s">
        <v>88</v>
      </c>
      <c r="G302" s="14" t="s">
        <v>50</v>
      </c>
      <c r="H302" s="14" t="s">
        <v>89</v>
      </c>
      <c r="I302" s="16" t="n">
        <v>1027.8</v>
      </c>
      <c r="J302" s="17" t="n">
        <v>1.8568</v>
      </c>
      <c r="K302" s="18" t="n">
        <v>188.76</v>
      </c>
      <c r="L302" s="18" t="n">
        <v>2056.15</v>
      </c>
      <c r="M302" s="18" t="n">
        <f aca="false">IF(J302="","",ROUND(MAX(I302*J302,K302),2))</f>
        <v>1908.42</v>
      </c>
      <c r="N302" s="18" t="n">
        <f aca="false">IF(M302="","",ROUND(L302-M302,2))</f>
        <v>147.73</v>
      </c>
      <c r="O302" s="19" t="n">
        <f aca="false">IF(M302="","",N302/M302)</f>
        <v>0.0774095848922145</v>
      </c>
      <c r="P302" s="14" t="str">
        <f aca="false">IF(M302="","SEM TARIFA NO CONTRATO",IF(N302&gt;Resumo!$B$4,"ACIMA DA TABELA",IF(N302&lt;-Resumo!$B$4,"ABAIXO DA TABELA","OK")))</f>
        <v>ACIMA DA TABELA</v>
      </c>
    </row>
    <row r="303" customFormat="false" ht="15" hidden="false" customHeight="false" outlineLevel="0" collapsed="false">
      <c r="A303" s="14" t="s">
        <v>660</v>
      </c>
      <c r="B303" s="14" t="s">
        <v>661</v>
      </c>
      <c r="C303" s="14" t="s">
        <v>22</v>
      </c>
      <c r="D303" s="15" t="n">
        <v>46157</v>
      </c>
      <c r="E303" s="14" t="n">
        <f aca="false">MONTH(D303)</f>
        <v>5</v>
      </c>
      <c r="F303" s="14" t="s">
        <v>56</v>
      </c>
      <c r="G303" s="14" t="s">
        <v>50</v>
      </c>
      <c r="H303" s="14" t="s">
        <v>45</v>
      </c>
      <c r="I303" s="16" t="n">
        <v>87</v>
      </c>
      <c r="J303" s="17" t="n">
        <v>0.8988</v>
      </c>
      <c r="K303" s="18" t="n">
        <v>114.66</v>
      </c>
      <c r="L303" s="18" t="n">
        <v>114.67</v>
      </c>
      <c r="M303" s="18" t="n">
        <f aca="false">IF(J303="","",ROUND(MAX(I303*J303,K303),2))</f>
        <v>114.66</v>
      </c>
      <c r="N303" s="18" t="n">
        <f aca="false">IF(M303="","",ROUND(L303-M303,2))</f>
        <v>0.01</v>
      </c>
      <c r="O303" s="19" t="n">
        <f aca="false">IF(M303="","",N303/M303)</f>
        <v>8.72143729286587E-005</v>
      </c>
      <c r="P303" s="14" t="str">
        <f aca="false">IF(M303="","SEM TARIFA NO CONTRATO",IF(N303&gt;Resumo!$B$4,"ACIMA DA TABELA",IF(N303&lt;-Resumo!$B$4,"ABAIXO DA TABELA","OK")))</f>
        <v>OK</v>
      </c>
    </row>
    <row r="304" customFormat="false" ht="15" hidden="false" customHeight="false" outlineLevel="0" collapsed="false">
      <c r="A304" s="14" t="s">
        <v>662</v>
      </c>
      <c r="B304" s="14" t="s">
        <v>663</v>
      </c>
      <c r="C304" s="14" t="s">
        <v>25</v>
      </c>
      <c r="D304" s="15" t="n">
        <v>46158</v>
      </c>
      <c r="E304" s="14" t="n">
        <f aca="false">MONTH(D304)</f>
        <v>5</v>
      </c>
      <c r="F304" s="14" t="s">
        <v>56</v>
      </c>
      <c r="G304" s="14" t="s">
        <v>50</v>
      </c>
      <c r="H304" s="14" t="s">
        <v>45</v>
      </c>
      <c r="I304" s="16" t="n">
        <v>165.2</v>
      </c>
      <c r="J304" s="17" t="n">
        <v>0.8132</v>
      </c>
      <c r="K304" s="18" t="n">
        <v>103.74</v>
      </c>
      <c r="L304" s="18" t="n">
        <v>134.53</v>
      </c>
      <c r="M304" s="18" t="n">
        <f aca="false">IF(J304="","",ROUND(MAX(I304*J304,K304),2))</f>
        <v>134.34</v>
      </c>
      <c r="N304" s="18" t="n">
        <f aca="false">IF(M304="","",ROUND(L304-M304,2))</f>
        <v>0.19</v>
      </c>
      <c r="O304" s="19" t="n">
        <f aca="false">IF(M304="","",N304/M304)</f>
        <v>0.00141432186988239</v>
      </c>
      <c r="P304" s="14" t="str">
        <f aca="false">IF(M304="","SEM TARIFA NO CONTRATO",IF(N304&gt;Resumo!$B$4,"ACIMA DA TABELA",IF(N304&lt;-Resumo!$B$4,"ABAIXO DA TABELA","OK")))</f>
        <v>OK</v>
      </c>
    </row>
    <row r="305" customFormat="false" ht="15" hidden="false" customHeight="false" outlineLevel="0" collapsed="false">
      <c r="A305" s="14" t="s">
        <v>664</v>
      </c>
      <c r="B305" s="14" t="s">
        <v>665</v>
      </c>
      <c r="C305" s="14" t="s">
        <v>24</v>
      </c>
      <c r="D305" s="15" t="n">
        <v>46158</v>
      </c>
      <c r="E305" s="14" t="n">
        <f aca="false">MONTH(D305)</f>
        <v>5</v>
      </c>
      <c r="F305" s="14" t="s">
        <v>61</v>
      </c>
      <c r="G305" s="14" t="s">
        <v>50</v>
      </c>
      <c r="H305" s="14" t="s">
        <v>62</v>
      </c>
      <c r="I305" s="16" t="n">
        <v>661.1</v>
      </c>
      <c r="J305" s="17" t="n">
        <v>1</v>
      </c>
      <c r="K305" s="18" t="n">
        <v>120</v>
      </c>
      <c r="L305" s="18" t="n">
        <v>605.59</v>
      </c>
      <c r="M305" s="18" t="n">
        <f aca="false">IF(J305="","",ROUND(MAX(I305*J305,K305),2))</f>
        <v>661.1</v>
      </c>
      <c r="N305" s="18" t="n">
        <f aca="false">IF(M305="","",ROUND(L305-M305,2))</f>
        <v>-55.51</v>
      </c>
      <c r="O305" s="19" t="n">
        <f aca="false">IF(M305="","",N305/M305)</f>
        <v>-0.0839661170775979</v>
      </c>
      <c r="P305" s="14" t="str">
        <f aca="false">IF(M305="","SEM TARIFA NO CONTRATO",IF(N305&gt;Resumo!$B$4,"ACIMA DA TABELA",IF(N305&lt;-Resumo!$B$4,"ABAIXO DA TABELA","OK")))</f>
        <v>ABAIXO DA TABELA</v>
      </c>
    </row>
    <row r="306" customFormat="false" ht="15" hidden="false" customHeight="false" outlineLevel="0" collapsed="false">
      <c r="A306" s="14" t="s">
        <v>666</v>
      </c>
      <c r="B306" s="14" t="s">
        <v>667</v>
      </c>
      <c r="C306" s="14" t="s">
        <v>21</v>
      </c>
      <c r="D306" s="15" t="n">
        <v>46158</v>
      </c>
      <c r="E306" s="14" t="n">
        <f aca="false">MONTH(D306)</f>
        <v>5</v>
      </c>
      <c r="F306" s="14" t="s">
        <v>88</v>
      </c>
      <c r="G306" s="14" t="s">
        <v>50</v>
      </c>
      <c r="H306" s="14" t="s">
        <v>89</v>
      </c>
      <c r="I306" s="16" t="n">
        <v>608.1</v>
      </c>
      <c r="J306" s="17" t="n">
        <v>1.8568</v>
      </c>
      <c r="K306" s="18" t="n">
        <v>188.76</v>
      </c>
      <c r="L306" s="18" t="n">
        <v>1128.92</v>
      </c>
      <c r="M306" s="18" t="n">
        <f aca="false">IF(J306="","",ROUND(MAX(I306*J306,K306),2))</f>
        <v>1129.12</v>
      </c>
      <c r="N306" s="18" t="n">
        <f aca="false">IF(M306="","",ROUND(L306-M306,2))</f>
        <v>-0.2</v>
      </c>
      <c r="O306" s="19" t="n">
        <f aca="false">IF(M306="","",N306/M306)</f>
        <v>-0.000177129091682018</v>
      </c>
      <c r="P306" s="14" t="str">
        <f aca="false">IF(M306="","SEM TARIFA NO CONTRATO",IF(N306&gt;Resumo!$B$4,"ACIMA DA TABELA",IF(N306&lt;-Resumo!$B$4,"ABAIXO DA TABELA","OK")))</f>
        <v>OK</v>
      </c>
    </row>
    <row r="307" customFormat="false" ht="15" hidden="false" customHeight="false" outlineLevel="0" collapsed="false">
      <c r="A307" s="14" t="s">
        <v>668</v>
      </c>
      <c r="B307" s="14" t="s">
        <v>669</v>
      </c>
      <c r="C307" s="14" t="s">
        <v>21</v>
      </c>
      <c r="D307" s="15" t="n">
        <v>46158</v>
      </c>
      <c r="E307" s="14" t="n">
        <f aca="false">MONTH(D307)</f>
        <v>5</v>
      </c>
      <c r="F307" s="14" t="s">
        <v>88</v>
      </c>
      <c r="G307" s="14" t="s">
        <v>50</v>
      </c>
      <c r="H307" s="14" t="s">
        <v>89</v>
      </c>
      <c r="I307" s="16" t="n">
        <v>701.3</v>
      </c>
      <c r="J307" s="17" t="n">
        <v>1.8568</v>
      </c>
      <c r="K307" s="18" t="n">
        <v>188.76</v>
      </c>
      <c r="L307" s="18" t="n">
        <v>1301.85</v>
      </c>
      <c r="M307" s="18" t="n">
        <f aca="false">IF(J307="","",ROUND(MAX(I307*J307,K307),2))</f>
        <v>1302.17</v>
      </c>
      <c r="N307" s="18" t="n">
        <f aca="false">IF(M307="","",ROUND(L307-M307,2))</f>
        <v>-0.32</v>
      </c>
      <c r="O307" s="19" t="n">
        <f aca="false">IF(M307="","",N307/M307)</f>
        <v>-0.000245743643303102</v>
      </c>
      <c r="P307" s="14" t="str">
        <f aca="false">IF(M307="","SEM TARIFA NO CONTRATO",IF(N307&gt;Resumo!$B$4,"ACIMA DA TABELA",IF(N307&lt;-Resumo!$B$4,"ABAIXO DA TABELA","OK")))</f>
        <v>OK</v>
      </c>
    </row>
    <row r="308" customFormat="false" ht="15" hidden="false" customHeight="false" outlineLevel="0" collapsed="false">
      <c r="A308" s="14" t="s">
        <v>670</v>
      </c>
      <c r="B308" s="14" t="s">
        <v>671</v>
      </c>
      <c r="C308" s="14" t="s">
        <v>24</v>
      </c>
      <c r="D308" s="15" t="n">
        <v>46158</v>
      </c>
      <c r="E308" s="14" t="n">
        <f aca="false">MONTH(D308)</f>
        <v>5</v>
      </c>
      <c r="F308" s="14" t="s">
        <v>61</v>
      </c>
      <c r="G308" s="14" t="s">
        <v>50</v>
      </c>
      <c r="H308" s="14" t="s">
        <v>62</v>
      </c>
      <c r="I308" s="16" t="n">
        <v>279.3</v>
      </c>
      <c r="J308" s="17" t="n">
        <v>1</v>
      </c>
      <c r="K308" s="18" t="n">
        <v>120</v>
      </c>
      <c r="L308" s="18" t="n">
        <v>279.1</v>
      </c>
      <c r="M308" s="18" t="n">
        <f aca="false">IF(J308="","",ROUND(MAX(I308*J308,K308),2))</f>
        <v>279.3</v>
      </c>
      <c r="N308" s="18" t="n">
        <f aca="false">IF(M308="","",ROUND(L308-M308,2))</f>
        <v>-0.2</v>
      </c>
      <c r="O308" s="19" t="n">
        <f aca="false">IF(M308="","",N308/M308)</f>
        <v>-0.000716075904045829</v>
      </c>
      <c r="P308" s="14" t="str">
        <f aca="false">IF(M308="","SEM TARIFA NO CONTRATO",IF(N308&gt;Resumo!$B$4,"ACIMA DA TABELA",IF(N308&lt;-Resumo!$B$4,"ABAIXO DA TABELA","OK")))</f>
        <v>OK</v>
      </c>
    </row>
    <row r="309" customFormat="false" ht="15" hidden="false" customHeight="false" outlineLevel="0" collapsed="false">
      <c r="A309" s="14" t="s">
        <v>672</v>
      </c>
      <c r="B309" s="14" t="s">
        <v>673</v>
      </c>
      <c r="C309" s="14" t="s">
        <v>25</v>
      </c>
      <c r="D309" s="15" t="n">
        <v>46159</v>
      </c>
      <c r="E309" s="14" t="n">
        <f aca="false">MONTH(D309)</f>
        <v>5</v>
      </c>
      <c r="F309" s="14" t="s">
        <v>44</v>
      </c>
      <c r="G309" s="14" t="s">
        <v>45</v>
      </c>
      <c r="H309" s="14" t="s">
        <v>46</v>
      </c>
      <c r="I309" s="16" t="n">
        <v>1319.1</v>
      </c>
      <c r="J309" s="17" t="n">
        <v>0.8132</v>
      </c>
      <c r="K309" s="18" t="n">
        <v>103.74</v>
      </c>
      <c r="L309" s="18" t="n">
        <v>1072.35</v>
      </c>
      <c r="M309" s="18" t="n">
        <f aca="false">IF(J309="","",ROUND(MAX(I309*J309,K309),2))</f>
        <v>1072.69</v>
      </c>
      <c r="N309" s="18" t="n">
        <f aca="false">IF(M309="","",ROUND(L309-M309,2))</f>
        <v>-0.34</v>
      </c>
      <c r="O309" s="19" t="n">
        <f aca="false">IF(M309="","",N309/M309)</f>
        <v>-0.000316960165565075</v>
      </c>
      <c r="P309" s="14" t="str">
        <f aca="false">IF(M309="","SEM TARIFA NO CONTRATO",IF(N309&gt;Resumo!$B$4,"ACIMA DA TABELA",IF(N309&lt;-Resumo!$B$4,"ABAIXO DA TABELA","OK")))</f>
        <v>OK</v>
      </c>
    </row>
    <row r="310" customFormat="false" ht="15" hidden="false" customHeight="false" outlineLevel="0" collapsed="false">
      <c r="A310" s="14" t="s">
        <v>674</v>
      </c>
      <c r="B310" s="14" t="s">
        <v>675</v>
      </c>
      <c r="C310" s="14" t="s">
        <v>24</v>
      </c>
      <c r="D310" s="15" t="n">
        <v>46159</v>
      </c>
      <c r="E310" s="14" t="n">
        <f aca="false">MONTH(D310)</f>
        <v>5</v>
      </c>
      <c r="F310" s="14" t="s">
        <v>79</v>
      </c>
      <c r="G310" s="14" t="s">
        <v>50</v>
      </c>
      <c r="H310" s="14" t="s">
        <v>46</v>
      </c>
      <c r="I310" s="16" t="n">
        <v>926.7</v>
      </c>
      <c r="J310" s="17" t="n">
        <v>0.36</v>
      </c>
      <c r="K310" s="18" t="n">
        <v>72</v>
      </c>
      <c r="L310" s="18" t="n">
        <v>333.95</v>
      </c>
      <c r="M310" s="18" t="n">
        <f aca="false">IF(J310="","",ROUND(MAX(I310*J310,K310),2))</f>
        <v>333.61</v>
      </c>
      <c r="N310" s="18" t="n">
        <f aca="false">IF(M310="","",ROUND(L310-M310,2))</f>
        <v>0.34</v>
      </c>
      <c r="O310" s="19" t="n">
        <f aca="false">IF(M310="","",N310/M310)</f>
        <v>0.00101915410209526</v>
      </c>
      <c r="P310" s="14" t="str">
        <f aca="false">IF(M310="","SEM TARIFA NO CONTRATO",IF(N310&gt;Resumo!$B$4,"ACIMA DA TABELA",IF(N310&lt;-Resumo!$B$4,"ABAIXO DA TABELA","OK")))</f>
        <v>OK</v>
      </c>
    </row>
    <row r="311" customFormat="false" ht="15" hidden="false" customHeight="false" outlineLevel="0" collapsed="false">
      <c r="A311" s="14" t="s">
        <v>676</v>
      </c>
      <c r="B311" s="14" t="s">
        <v>677</v>
      </c>
      <c r="C311" s="14" t="s">
        <v>25</v>
      </c>
      <c r="D311" s="15" t="n">
        <v>46160</v>
      </c>
      <c r="E311" s="14" t="n">
        <f aca="false">MONTH(D311)</f>
        <v>5</v>
      </c>
      <c r="F311" s="14" t="s">
        <v>88</v>
      </c>
      <c r="G311" s="14" t="s">
        <v>50</v>
      </c>
      <c r="H311" s="14" t="s">
        <v>89</v>
      </c>
      <c r="I311" s="16" t="n">
        <v>675.8</v>
      </c>
      <c r="J311" s="17" t="n">
        <v>1.6036</v>
      </c>
      <c r="K311" s="18" t="n">
        <v>163.02</v>
      </c>
      <c r="L311" s="18" t="n">
        <v>1083.37</v>
      </c>
      <c r="M311" s="18" t="n">
        <f aca="false">IF(J311="","",ROUND(MAX(I311*J311,K311),2))</f>
        <v>1083.71</v>
      </c>
      <c r="N311" s="18" t="n">
        <f aca="false">IF(M311="","",ROUND(L311-M311,2))</f>
        <v>-0.34</v>
      </c>
      <c r="O311" s="19" t="n">
        <f aca="false">IF(M311="","",N311/M311)</f>
        <v>-0.000313737069880319</v>
      </c>
      <c r="P311" s="14" t="str">
        <f aca="false">IF(M311="","SEM TARIFA NO CONTRATO",IF(N311&gt;Resumo!$B$4,"ACIMA DA TABELA",IF(N311&lt;-Resumo!$B$4,"ABAIXO DA TABELA","OK")))</f>
        <v>OK</v>
      </c>
    </row>
    <row r="312" customFormat="false" ht="15" hidden="false" customHeight="false" outlineLevel="0" collapsed="false">
      <c r="A312" s="14" t="s">
        <v>678</v>
      </c>
      <c r="B312" s="14" t="s">
        <v>679</v>
      </c>
      <c r="C312" s="14" t="s">
        <v>25</v>
      </c>
      <c r="D312" s="15" t="n">
        <v>46160</v>
      </c>
      <c r="E312" s="14" t="n">
        <f aca="false">MONTH(D312)</f>
        <v>5</v>
      </c>
      <c r="F312" s="14" t="s">
        <v>88</v>
      </c>
      <c r="G312" s="14" t="s">
        <v>50</v>
      </c>
      <c r="H312" s="14" t="s">
        <v>89</v>
      </c>
      <c r="I312" s="16" t="n">
        <v>71.6</v>
      </c>
      <c r="J312" s="17" t="n">
        <v>1.6036</v>
      </c>
      <c r="K312" s="18" t="n">
        <v>163.02</v>
      </c>
      <c r="L312" s="18" t="n">
        <v>163.36</v>
      </c>
      <c r="M312" s="18" t="n">
        <f aca="false">IF(J312="","",ROUND(MAX(I312*J312,K312),2))</f>
        <v>163.02</v>
      </c>
      <c r="N312" s="18" t="n">
        <f aca="false">IF(M312="","",ROUND(L312-M312,2))</f>
        <v>0.34</v>
      </c>
      <c r="O312" s="19" t="n">
        <f aca="false">IF(M312="","",N312/M312)</f>
        <v>0.00208563366458103</v>
      </c>
      <c r="P312" s="14" t="str">
        <f aca="false">IF(M312="","SEM TARIFA NO CONTRATO",IF(N312&gt;Resumo!$B$4,"ACIMA DA TABELA",IF(N312&lt;-Resumo!$B$4,"ABAIXO DA TABELA","OK")))</f>
        <v>OK</v>
      </c>
    </row>
    <row r="313" customFormat="false" ht="15" hidden="false" customHeight="false" outlineLevel="0" collapsed="false">
      <c r="A313" s="14" t="s">
        <v>680</v>
      </c>
      <c r="B313" s="14" t="s">
        <v>681</v>
      </c>
      <c r="C313" s="14" t="s">
        <v>24</v>
      </c>
      <c r="D313" s="15" t="n">
        <v>46161</v>
      </c>
      <c r="E313" s="14" t="n">
        <f aca="false">MONTH(D313)</f>
        <v>5</v>
      </c>
      <c r="F313" s="14" t="s">
        <v>44</v>
      </c>
      <c r="G313" s="14" t="s">
        <v>45</v>
      </c>
      <c r="H313" s="14" t="s">
        <v>46</v>
      </c>
      <c r="I313" s="16" t="n">
        <v>386.9</v>
      </c>
      <c r="J313" s="17" t="n">
        <v>0.856</v>
      </c>
      <c r="K313" s="18" t="n">
        <v>109.2</v>
      </c>
      <c r="L313" s="18" t="n">
        <v>331.02</v>
      </c>
      <c r="M313" s="18" t="n">
        <f aca="false">IF(J313="","",ROUND(MAX(I313*J313,K313),2))</f>
        <v>331.19</v>
      </c>
      <c r="N313" s="18" t="n">
        <f aca="false">IF(M313="","",ROUND(L313-M313,2))</f>
        <v>-0.17</v>
      </c>
      <c r="O313" s="19" t="n">
        <f aca="false">IF(M313="","",N313/M313)</f>
        <v>-0.000513300522358767</v>
      </c>
      <c r="P313" s="14" t="str">
        <f aca="false">IF(M313="","SEM TARIFA NO CONTRATO",IF(N313&gt;Resumo!$B$4,"ACIMA DA TABELA",IF(N313&lt;-Resumo!$B$4,"ABAIXO DA TABELA","OK")))</f>
        <v>OK</v>
      </c>
    </row>
    <row r="314" customFormat="false" ht="15" hidden="false" customHeight="false" outlineLevel="0" collapsed="false">
      <c r="A314" s="14" t="s">
        <v>682</v>
      </c>
      <c r="B314" s="14" t="s">
        <v>683</v>
      </c>
      <c r="C314" s="14" t="s">
        <v>25</v>
      </c>
      <c r="D314" s="15" t="n">
        <v>46161</v>
      </c>
      <c r="E314" s="14" t="n">
        <f aca="false">MONTH(D314)</f>
        <v>5</v>
      </c>
      <c r="F314" s="14" t="s">
        <v>79</v>
      </c>
      <c r="G314" s="14" t="s">
        <v>50</v>
      </c>
      <c r="H314" s="14" t="s">
        <v>46</v>
      </c>
      <c r="I314" s="16" t="n">
        <v>1204.8</v>
      </c>
      <c r="J314" s="17" t="n">
        <v>0.342</v>
      </c>
      <c r="K314" s="18" t="n">
        <v>68.4</v>
      </c>
      <c r="L314" s="18" t="n">
        <v>412.18</v>
      </c>
      <c r="M314" s="18" t="n">
        <f aca="false">IF(J314="","",ROUND(MAX(I314*J314,K314),2))</f>
        <v>412.04</v>
      </c>
      <c r="N314" s="18" t="n">
        <f aca="false">IF(M314="","",ROUND(L314-M314,2))</f>
        <v>0.14</v>
      </c>
      <c r="O314" s="19" t="n">
        <f aca="false">IF(M314="","",N314/M314)</f>
        <v>0.000339772837588584</v>
      </c>
      <c r="P314" s="14" t="str">
        <f aca="false">IF(M314="","SEM TARIFA NO CONTRATO",IF(N314&gt;Resumo!$B$4,"ACIMA DA TABELA",IF(N314&lt;-Resumo!$B$4,"ABAIXO DA TABELA","OK")))</f>
        <v>OK</v>
      </c>
    </row>
    <row r="315" customFormat="false" ht="15" hidden="false" customHeight="false" outlineLevel="0" collapsed="false">
      <c r="A315" s="14" t="s">
        <v>684</v>
      </c>
      <c r="B315" s="14" t="s">
        <v>685</v>
      </c>
      <c r="C315" s="14" t="s">
        <v>25</v>
      </c>
      <c r="D315" s="15" t="n">
        <v>46162</v>
      </c>
      <c r="E315" s="14" t="n">
        <f aca="false">MONTH(D315)</f>
        <v>5</v>
      </c>
      <c r="F315" s="14" t="s">
        <v>56</v>
      </c>
      <c r="G315" s="14" t="s">
        <v>50</v>
      </c>
      <c r="H315" s="14" t="s">
        <v>45</v>
      </c>
      <c r="I315" s="16" t="n">
        <v>493.5</v>
      </c>
      <c r="J315" s="17" t="n">
        <v>0.8132</v>
      </c>
      <c r="K315" s="18" t="n">
        <v>103.74</v>
      </c>
      <c r="L315" s="18" t="n">
        <v>445.11</v>
      </c>
      <c r="M315" s="18" t="n">
        <f aca="false">IF(J315="","",ROUND(MAX(I315*J315,K315),2))</f>
        <v>401.31</v>
      </c>
      <c r="N315" s="18" t="n">
        <f aca="false">IF(M315="","",ROUND(L315-M315,2))</f>
        <v>43.8</v>
      </c>
      <c r="O315" s="19" t="n">
        <f aca="false">IF(M315="","",N315/M315)</f>
        <v>0.10914255812215</v>
      </c>
      <c r="P315" s="14" t="str">
        <f aca="false">IF(M315="","SEM TARIFA NO CONTRATO",IF(N315&gt;Resumo!$B$4,"ACIMA DA TABELA",IF(N315&lt;-Resumo!$B$4,"ABAIXO DA TABELA","OK")))</f>
        <v>ACIMA DA TABELA</v>
      </c>
    </row>
    <row r="316" customFormat="false" ht="15" hidden="false" customHeight="false" outlineLevel="0" collapsed="false">
      <c r="A316" s="14" t="s">
        <v>686</v>
      </c>
      <c r="B316" s="14" t="s">
        <v>687</v>
      </c>
      <c r="C316" s="14" t="s">
        <v>21</v>
      </c>
      <c r="D316" s="15" t="n">
        <v>46163</v>
      </c>
      <c r="E316" s="14" t="n">
        <f aca="false">MONTH(D316)</f>
        <v>5</v>
      </c>
      <c r="F316" s="14" t="s">
        <v>61</v>
      </c>
      <c r="G316" s="14" t="s">
        <v>50</v>
      </c>
      <c r="H316" s="14" t="s">
        <v>62</v>
      </c>
      <c r="I316" s="16" t="n">
        <v>311.8</v>
      </c>
      <c r="J316" s="17" t="n">
        <v>1.1</v>
      </c>
      <c r="K316" s="18" t="n">
        <v>132</v>
      </c>
      <c r="L316" s="18" t="n">
        <v>342.66</v>
      </c>
      <c r="M316" s="18" t="n">
        <f aca="false">IF(J316="","",ROUND(MAX(I316*J316,K316),2))</f>
        <v>342.98</v>
      </c>
      <c r="N316" s="18" t="n">
        <f aca="false">IF(M316="","",ROUND(L316-M316,2))</f>
        <v>-0.32</v>
      </c>
      <c r="O316" s="19" t="n">
        <f aca="false">IF(M316="","",N316/M316)</f>
        <v>-0.000932999008688553</v>
      </c>
      <c r="P316" s="14" t="str">
        <f aca="false">IF(M316="","SEM TARIFA NO CONTRATO",IF(N316&gt;Resumo!$B$4,"ACIMA DA TABELA",IF(N316&lt;-Resumo!$B$4,"ABAIXO DA TABELA","OK")))</f>
        <v>OK</v>
      </c>
    </row>
    <row r="317" customFormat="false" ht="15" hidden="false" customHeight="false" outlineLevel="0" collapsed="false">
      <c r="A317" s="14" t="s">
        <v>688</v>
      </c>
      <c r="B317" s="14" t="s">
        <v>689</v>
      </c>
      <c r="C317" s="14" t="s">
        <v>23</v>
      </c>
      <c r="D317" s="15" t="n">
        <v>46163</v>
      </c>
      <c r="E317" s="14" t="n">
        <f aca="false">MONTH(D317)</f>
        <v>5</v>
      </c>
      <c r="F317" s="14" t="s">
        <v>44</v>
      </c>
      <c r="G317" s="14" t="s">
        <v>45</v>
      </c>
      <c r="H317" s="14" t="s">
        <v>46</v>
      </c>
      <c r="I317" s="16" t="n">
        <v>228.6</v>
      </c>
      <c r="J317" s="17" t="n">
        <v>0.7875</v>
      </c>
      <c r="K317" s="18" t="n">
        <v>100.46</v>
      </c>
      <c r="L317" s="18" t="n">
        <v>180.06</v>
      </c>
      <c r="M317" s="18" t="n">
        <f aca="false">IF(J317="","",ROUND(MAX(I317*J317,K317),2))</f>
        <v>180.02</v>
      </c>
      <c r="N317" s="18" t="n">
        <f aca="false">IF(M317="","",ROUND(L317-M317,2))</f>
        <v>0.04</v>
      </c>
      <c r="O317" s="19" t="n">
        <f aca="false">IF(M317="","",N317/M317)</f>
        <v>0.000222197533607377</v>
      </c>
      <c r="P317" s="14" t="str">
        <f aca="false">IF(M317="","SEM TARIFA NO CONTRATO",IF(N317&gt;Resumo!$B$4,"ACIMA DA TABELA",IF(N317&lt;-Resumo!$B$4,"ABAIXO DA TABELA","OK")))</f>
        <v>OK</v>
      </c>
    </row>
    <row r="318" customFormat="false" ht="15" hidden="false" customHeight="false" outlineLevel="0" collapsed="false">
      <c r="A318" s="14" t="s">
        <v>690</v>
      </c>
      <c r="B318" s="14" t="s">
        <v>691</v>
      </c>
      <c r="C318" s="14" t="s">
        <v>23</v>
      </c>
      <c r="D318" s="15" t="n">
        <v>46163</v>
      </c>
      <c r="E318" s="14" t="n">
        <f aca="false">MONTH(D318)</f>
        <v>5</v>
      </c>
      <c r="F318" s="14" t="s">
        <v>44</v>
      </c>
      <c r="G318" s="14" t="s">
        <v>45</v>
      </c>
      <c r="H318" s="14" t="s">
        <v>46</v>
      </c>
      <c r="I318" s="16" t="n">
        <v>408</v>
      </c>
      <c r="J318" s="17" t="n">
        <v>0.7875</v>
      </c>
      <c r="K318" s="18" t="n">
        <v>100.46</v>
      </c>
      <c r="L318" s="18" t="n">
        <v>321.18</v>
      </c>
      <c r="M318" s="18" t="n">
        <f aca="false">IF(J318="","",ROUND(MAX(I318*J318,K318),2))</f>
        <v>321.3</v>
      </c>
      <c r="N318" s="18" t="n">
        <f aca="false">IF(M318="","",ROUND(L318-M318,2))</f>
        <v>-0.12</v>
      </c>
      <c r="O318" s="19" t="n">
        <f aca="false">IF(M318="","",N318/M318)</f>
        <v>-0.000373482726423903</v>
      </c>
      <c r="P318" s="14" t="str">
        <f aca="false">IF(M318="","SEM TARIFA NO CONTRATO",IF(N318&gt;Resumo!$B$4,"ACIMA DA TABELA",IF(N318&lt;-Resumo!$B$4,"ABAIXO DA TABELA","OK")))</f>
        <v>OK</v>
      </c>
    </row>
    <row r="319" customFormat="false" ht="15" hidden="false" customHeight="false" outlineLevel="0" collapsed="false">
      <c r="A319" s="14" t="s">
        <v>692</v>
      </c>
      <c r="B319" s="14" t="s">
        <v>693</v>
      </c>
      <c r="C319" s="14" t="s">
        <v>24</v>
      </c>
      <c r="D319" s="15" t="n">
        <v>46163</v>
      </c>
      <c r="E319" s="14" t="n">
        <f aca="false">MONTH(D319)</f>
        <v>5</v>
      </c>
      <c r="F319" s="14" t="s">
        <v>67</v>
      </c>
      <c r="G319" s="14" t="s">
        <v>50</v>
      </c>
      <c r="H319" s="14" t="s">
        <v>68</v>
      </c>
      <c r="I319" s="16" t="n">
        <v>994.1</v>
      </c>
      <c r="J319" s="17" t="n">
        <v>1.96</v>
      </c>
      <c r="K319" s="18" t="n">
        <v>192</v>
      </c>
      <c r="L319" s="18" t="n">
        <v>1948.47</v>
      </c>
      <c r="M319" s="18" t="n">
        <f aca="false">IF(J319="","",ROUND(MAX(I319*J319,K319),2))</f>
        <v>1948.44</v>
      </c>
      <c r="N319" s="18" t="n">
        <f aca="false">IF(M319="","",ROUND(L319-M319,2))</f>
        <v>0.03</v>
      </c>
      <c r="O319" s="19" t="n">
        <f aca="false">IF(M319="","",N319/M319)</f>
        <v>1.53969329309602E-005</v>
      </c>
      <c r="P319" s="14" t="str">
        <f aca="false">IF(M319="","SEM TARIFA NO CONTRATO",IF(N319&gt;Resumo!$B$4,"ACIMA DA TABELA",IF(N319&lt;-Resumo!$B$4,"ABAIXO DA TABELA","OK")))</f>
        <v>OK</v>
      </c>
    </row>
    <row r="320" customFormat="false" ht="15" hidden="false" customHeight="false" outlineLevel="0" collapsed="false">
      <c r="A320" s="14" t="s">
        <v>694</v>
      </c>
      <c r="B320" s="14" t="s">
        <v>695</v>
      </c>
      <c r="C320" s="14" t="s">
        <v>21</v>
      </c>
      <c r="D320" s="15" t="n">
        <v>46163</v>
      </c>
      <c r="E320" s="14" t="n">
        <f aca="false">MONTH(D320)</f>
        <v>5</v>
      </c>
      <c r="F320" s="14" t="s">
        <v>118</v>
      </c>
      <c r="G320" s="14" t="s">
        <v>50</v>
      </c>
      <c r="H320" s="14" t="s">
        <v>119</v>
      </c>
      <c r="I320" s="16" t="n">
        <v>198.4</v>
      </c>
      <c r="J320" s="17" t="n">
        <v>3.6696</v>
      </c>
      <c r="K320" s="18" t="n">
        <v>324.72</v>
      </c>
      <c r="L320" s="18" t="n">
        <v>783.04</v>
      </c>
      <c r="M320" s="18" t="n">
        <f aca="false">IF(J320="","",ROUND(MAX(I320*J320,K320),2))</f>
        <v>728.05</v>
      </c>
      <c r="N320" s="18" t="n">
        <f aca="false">IF(M320="","",ROUND(L320-M320,2))</f>
        <v>54.99</v>
      </c>
      <c r="O320" s="19" t="n">
        <f aca="false">IF(M320="","",N320/M320)</f>
        <v>0.0755305267495364</v>
      </c>
      <c r="P320" s="14" t="str">
        <f aca="false">IF(M320="","SEM TARIFA NO CONTRATO",IF(N320&gt;Resumo!$B$4,"ACIMA DA TABELA",IF(N320&lt;-Resumo!$B$4,"ABAIXO DA TABELA","OK")))</f>
        <v>ACIMA DA TABELA</v>
      </c>
    </row>
    <row r="321" customFormat="false" ht="15" hidden="false" customHeight="false" outlineLevel="0" collapsed="false">
      <c r="A321" s="14" t="s">
        <v>696</v>
      </c>
      <c r="B321" s="14" t="s">
        <v>697</v>
      </c>
      <c r="C321" s="14" t="s">
        <v>23</v>
      </c>
      <c r="D321" s="15" t="n">
        <v>46163</v>
      </c>
      <c r="E321" s="14" t="n">
        <f aca="false">MONTH(D321)</f>
        <v>5</v>
      </c>
      <c r="F321" s="14" t="s">
        <v>61</v>
      </c>
      <c r="G321" s="14" t="s">
        <v>50</v>
      </c>
      <c r="H321" s="14" t="s">
        <v>62</v>
      </c>
      <c r="I321" s="16" t="n">
        <v>340.5</v>
      </c>
      <c r="J321" s="17"/>
      <c r="K321" s="18"/>
      <c r="L321" s="18" t="n">
        <v>425.62</v>
      </c>
      <c r="M321" s="18" t="str">
        <f aca="false">IF(J321="","",ROUND(MAX(I321*J321,K321),2))</f>
        <v/>
      </c>
      <c r="N321" s="18" t="str">
        <f aca="false">IF(M321="","",ROUND(L321-M321,2))</f>
        <v/>
      </c>
      <c r="O321" s="19" t="str">
        <f aca="false">IF(M321="","",N321/M321)</f>
        <v/>
      </c>
      <c r="P321" s="14" t="str">
        <f aca="false">IF(M321="","SEM TARIFA NO CONTRATO",IF(N321&gt;Resumo!$B$4,"ACIMA DA TABELA",IF(N321&lt;-Resumo!$B$4,"ABAIXO DA TABELA","OK")))</f>
        <v>SEM TARIFA NO CONTRATO</v>
      </c>
    </row>
    <row r="322" customFormat="false" ht="15" hidden="false" customHeight="false" outlineLevel="0" collapsed="false">
      <c r="A322" s="14" t="s">
        <v>698</v>
      </c>
      <c r="B322" s="14" t="s">
        <v>699</v>
      </c>
      <c r="C322" s="14" t="s">
        <v>25</v>
      </c>
      <c r="D322" s="15" t="n">
        <v>46164</v>
      </c>
      <c r="E322" s="14" t="n">
        <f aca="false">MONTH(D322)</f>
        <v>5</v>
      </c>
      <c r="F322" s="14" t="s">
        <v>61</v>
      </c>
      <c r="G322" s="14" t="s">
        <v>50</v>
      </c>
      <c r="H322" s="14" t="s">
        <v>62</v>
      </c>
      <c r="I322" s="16" t="n">
        <v>936.7</v>
      </c>
      <c r="J322" s="17" t="n">
        <v>0.95</v>
      </c>
      <c r="K322" s="18" t="n">
        <v>114</v>
      </c>
      <c r="L322" s="18" t="n">
        <v>890.21</v>
      </c>
      <c r="M322" s="18" t="n">
        <f aca="false">IF(J322="","",ROUND(MAX(I322*J322,K322),2))</f>
        <v>889.87</v>
      </c>
      <c r="N322" s="18" t="n">
        <f aca="false">IF(M322="","",ROUND(L322-M322,2))</f>
        <v>0.34</v>
      </c>
      <c r="O322" s="19" t="n">
        <f aca="false">IF(M322="","",N322/M322)</f>
        <v>0.000382078281097239</v>
      </c>
      <c r="P322" s="14" t="str">
        <f aca="false">IF(M322="","SEM TARIFA NO CONTRATO",IF(N322&gt;Resumo!$B$4,"ACIMA DA TABELA",IF(N322&lt;-Resumo!$B$4,"ABAIXO DA TABELA","OK")))</f>
        <v>OK</v>
      </c>
    </row>
    <row r="323" customFormat="false" ht="15" hidden="false" customHeight="false" outlineLevel="0" collapsed="false">
      <c r="A323" s="14" t="s">
        <v>700</v>
      </c>
      <c r="B323" s="14" t="s">
        <v>701</v>
      </c>
      <c r="C323" s="14" t="s">
        <v>25</v>
      </c>
      <c r="D323" s="15" t="n">
        <v>46164</v>
      </c>
      <c r="E323" s="14" t="n">
        <f aca="false">MONTH(D323)</f>
        <v>5</v>
      </c>
      <c r="F323" s="14" t="s">
        <v>104</v>
      </c>
      <c r="G323" s="14" t="s">
        <v>45</v>
      </c>
      <c r="H323" s="14" t="s">
        <v>68</v>
      </c>
      <c r="I323" s="16" t="n">
        <v>438.3</v>
      </c>
      <c r="J323" s="17" t="n">
        <v>1.254</v>
      </c>
      <c r="K323" s="18" t="n">
        <v>136.8</v>
      </c>
      <c r="L323" s="18" t="n">
        <v>549.23</v>
      </c>
      <c r="M323" s="18" t="n">
        <f aca="false">IF(J323="","",ROUND(MAX(I323*J323,K323),2))</f>
        <v>549.63</v>
      </c>
      <c r="N323" s="18" t="n">
        <f aca="false">IF(M323="","",ROUND(L323-M323,2))</f>
        <v>-0.4</v>
      </c>
      <c r="O323" s="19" t="n">
        <f aca="false">IF(M323="","",N323/M323)</f>
        <v>-0.00072776231282863</v>
      </c>
      <c r="P323" s="14" t="str">
        <f aca="false">IF(M323="","SEM TARIFA NO CONTRATO",IF(N323&gt;Resumo!$B$4,"ACIMA DA TABELA",IF(N323&lt;-Resumo!$B$4,"ABAIXO DA TABELA","OK")))</f>
        <v>OK</v>
      </c>
    </row>
    <row r="324" customFormat="false" ht="15" hidden="false" customHeight="false" outlineLevel="0" collapsed="false">
      <c r="A324" s="14" t="s">
        <v>702</v>
      </c>
      <c r="B324" s="14" t="s">
        <v>703</v>
      </c>
      <c r="C324" s="14" t="s">
        <v>25</v>
      </c>
      <c r="D324" s="15" t="n">
        <v>46165</v>
      </c>
      <c r="E324" s="14" t="n">
        <f aca="false">MONTH(D324)</f>
        <v>5</v>
      </c>
      <c r="F324" s="14" t="s">
        <v>44</v>
      </c>
      <c r="G324" s="14" t="s">
        <v>45</v>
      </c>
      <c r="H324" s="14" t="s">
        <v>46</v>
      </c>
      <c r="I324" s="16" t="n">
        <v>318.6</v>
      </c>
      <c r="J324" s="17" t="n">
        <v>0.8132</v>
      </c>
      <c r="K324" s="18" t="n">
        <v>103.74</v>
      </c>
      <c r="L324" s="18" t="n">
        <v>259.27</v>
      </c>
      <c r="M324" s="18" t="n">
        <f aca="false">IF(J324="","",ROUND(MAX(I324*J324,K324),2))</f>
        <v>259.09</v>
      </c>
      <c r="N324" s="18" t="n">
        <f aca="false">IF(M324="","",ROUND(L324-M324,2))</f>
        <v>0.18</v>
      </c>
      <c r="O324" s="19" t="n">
        <f aca="false">IF(M324="","",N324/M324)</f>
        <v>0.000694739279786947</v>
      </c>
      <c r="P324" s="14" t="str">
        <f aca="false">IF(M324="","SEM TARIFA NO CONTRATO",IF(N324&gt;Resumo!$B$4,"ACIMA DA TABELA",IF(N324&lt;-Resumo!$B$4,"ABAIXO DA TABELA","OK")))</f>
        <v>OK</v>
      </c>
    </row>
    <row r="325" customFormat="false" ht="15" hidden="false" customHeight="false" outlineLevel="0" collapsed="false">
      <c r="A325" s="14" t="s">
        <v>704</v>
      </c>
      <c r="B325" s="14" t="s">
        <v>705</v>
      </c>
      <c r="C325" s="14" t="s">
        <v>25</v>
      </c>
      <c r="D325" s="15" t="n">
        <v>46165</v>
      </c>
      <c r="E325" s="14" t="n">
        <f aca="false">MONTH(D325)</f>
        <v>5</v>
      </c>
      <c r="F325" s="14" t="s">
        <v>44</v>
      </c>
      <c r="G325" s="14" t="s">
        <v>45</v>
      </c>
      <c r="H325" s="14" t="s">
        <v>46</v>
      </c>
      <c r="I325" s="16" t="n">
        <v>5712.2</v>
      </c>
      <c r="J325" s="17" t="n">
        <v>0.8132</v>
      </c>
      <c r="K325" s="18" t="n">
        <v>103.74</v>
      </c>
      <c r="L325" s="18" t="n">
        <v>4645.12</v>
      </c>
      <c r="M325" s="18" t="n">
        <f aca="false">IF(J325="","",ROUND(MAX(I325*J325,K325),2))</f>
        <v>4645.16</v>
      </c>
      <c r="N325" s="18" t="n">
        <f aca="false">IF(M325="","",ROUND(L325-M325,2))</f>
        <v>-0.04</v>
      </c>
      <c r="O325" s="19" t="n">
        <f aca="false">IF(M325="","",N325/M325)</f>
        <v>-8.61111350308708E-006</v>
      </c>
      <c r="P325" s="14" t="str">
        <f aca="false">IF(M325="","SEM TARIFA NO CONTRATO",IF(N325&gt;Resumo!$B$4,"ACIMA DA TABELA",IF(N325&lt;-Resumo!$B$4,"ABAIXO DA TABELA","OK")))</f>
        <v>OK</v>
      </c>
    </row>
    <row r="326" customFormat="false" ht="15" hidden="false" customHeight="false" outlineLevel="0" collapsed="false">
      <c r="A326" s="14" t="s">
        <v>706</v>
      </c>
      <c r="B326" s="14" t="s">
        <v>707</v>
      </c>
      <c r="C326" s="14" t="s">
        <v>21</v>
      </c>
      <c r="D326" s="15" t="n">
        <v>46165</v>
      </c>
      <c r="E326" s="14" t="n">
        <f aca="false">MONTH(D326)</f>
        <v>5</v>
      </c>
      <c r="F326" s="14" t="s">
        <v>73</v>
      </c>
      <c r="G326" s="14" t="s">
        <v>50</v>
      </c>
      <c r="H326" s="14" t="s">
        <v>74</v>
      </c>
      <c r="I326" s="16" t="n">
        <v>748.4</v>
      </c>
      <c r="J326" s="17" t="n">
        <v>1.2584</v>
      </c>
      <c r="K326" s="18" t="n">
        <v>143.88</v>
      </c>
      <c r="L326" s="18" t="n">
        <v>1001.8</v>
      </c>
      <c r="M326" s="18" t="n">
        <f aca="false">IF(J326="","",ROUND(MAX(I326*J326,K326),2))</f>
        <v>941.79</v>
      </c>
      <c r="N326" s="18" t="n">
        <f aca="false">IF(M326="","",ROUND(L326-M326,2))</f>
        <v>60.01</v>
      </c>
      <c r="O326" s="19" t="n">
        <f aca="false">IF(M326="","",N326/M326)</f>
        <v>0.0637190881194322</v>
      </c>
      <c r="P326" s="14" t="str">
        <f aca="false">IF(M326="","SEM TARIFA NO CONTRATO",IF(N326&gt;Resumo!$B$4,"ACIMA DA TABELA",IF(N326&lt;-Resumo!$B$4,"ABAIXO DA TABELA","OK")))</f>
        <v>ACIMA DA TABELA</v>
      </c>
    </row>
    <row r="327" customFormat="false" ht="15" hidden="false" customHeight="false" outlineLevel="0" collapsed="false">
      <c r="A327" s="14" t="s">
        <v>708</v>
      </c>
      <c r="B327" s="14" t="s">
        <v>709</v>
      </c>
      <c r="C327" s="14" t="s">
        <v>23</v>
      </c>
      <c r="D327" s="15" t="n">
        <v>46166</v>
      </c>
      <c r="E327" s="14" t="n">
        <f aca="false">MONTH(D327)</f>
        <v>5</v>
      </c>
      <c r="F327" s="14" t="s">
        <v>44</v>
      </c>
      <c r="G327" s="14" t="s">
        <v>45</v>
      </c>
      <c r="H327" s="14" t="s">
        <v>46</v>
      </c>
      <c r="I327" s="16" t="n">
        <v>1767.4</v>
      </c>
      <c r="J327" s="17" t="n">
        <v>0.7875</v>
      </c>
      <c r="K327" s="18" t="n">
        <v>100.46</v>
      </c>
      <c r="L327" s="18" t="n">
        <v>1391.99</v>
      </c>
      <c r="M327" s="18" t="n">
        <f aca="false">IF(J327="","",ROUND(MAX(I327*J327,K327),2))</f>
        <v>1391.83</v>
      </c>
      <c r="N327" s="18" t="n">
        <f aca="false">IF(M327="","",ROUND(L327-M327,2))</f>
        <v>0.16</v>
      </c>
      <c r="O327" s="19" t="n">
        <f aca="false">IF(M327="","",N327/M327)</f>
        <v>0.000114956567971663</v>
      </c>
      <c r="P327" s="14" t="str">
        <f aca="false">IF(M327="","SEM TARIFA NO CONTRATO",IF(N327&gt;Resumo!$B$4,"ACIMA DA TABELA",IF(N327&lt;-Resumo!$B$4,"ABAIXO DA TABELA","OK")))</f>
        <v>OK</v>
      </c>
    </row>
    <row r="328" customFormat="false" ht="15" hidden="false" customHeight="false" outlineLevel="0" collapsed="false">
      <c r="A328" s="14" t="s">
        <v>710</v>
      </c>
      <c r="B328" s="14" t="s">
        <v>711</v>
      </c>
      <c r="C328" s="14" t="s">
        <v>21</v>
      </c>
      <c r="D328" s="15" t="n">
        <v>46166</v>
      </c>
      <c r="E328" s="14" t="n">
        <f aca="false">MONTH(D328)</f>
        <v>5</v>
      </c>
      <c r="F328" s="14" t="s">
        <v>61</v>
      </c>
      <c r="G328" s="14" t="s">
        <v>50</v>
      </c>
      <c r="H328" s="14" t="s">
        <v>62</v>
      </c>
      <c r="I328" s="16" t="n">
        <v>938.2</v>
      </c>
      <c r="J328" s="17" t="n">
        <v>1.1</v>
      </c>
      <c r="K328" s="18" t="n">
        <v>132</v>
      </c>
      <c r="L328" s="18" t="n">
        <v>1219.66</v>
      </c>
      <c r="M328" s="18" t="n">
        <f aca="false">IF(J328="","",ROUND(MAX(I328*J328,K328),2))</f>
        <v>1032.02</v>
      </c>
      <c r="N328" s="18" t="n">
        <f aca="false">IF(M328="","",ROUND(L328-M328,2))</f>
        <v>187.64</v>
      </c>
      <c r="O328" s="19" t="n">
        <f aca="false">IF(M328="","",N328/M328)</f>
        <v>0.181818181818182</v>
      </c>
      <c r="P328" s="14" t="str">
        <f aca="false">IF(M328="","SEM TARIFA NO CONTRATO",IF(N328&gt;Resumo!$B$4,"ACIMA DA TABELA",IF(N328&lt;-Resumo!$B$4,"ABAIXO DA TABELA","OK")))</f>
        <v>ACIMA DA TABELA</v>
      </c>
    </row>
    <row r="329" customFormat="false" ht="15" hidden="false" customHeight="false" outlineLevel="0" collapsed="false">
      <c r="A329" s="14" t="s">
        <v>712</v>
      </c>
      <c r="B329" s="14" t="s">
        <v>713</v>
      </c>
      <c r="C329" s="14" t="s">
        <v>23</v>
      </c>
      <c r="D329" s="15" t="n">
        <v>46166</v>
      </c>
      <c r="E329" s="14" t="n">
        <f aca="false">MONTH(D329)</f>
        <v>5</v>
      </c>
      <c r="F329" s="14" t="s">
        <v>88</v>
      </c>
      <c r="G329" s="14" t="s">
        <v>50</v>
      </c>
      <c r="H329" s="14" t="s">
        <v>89</v>
      </c>
      <c r="I329" s="16" t="n">
        <v>258.9</v>
      </c>
      <c r="J329" s="17" t="n">
        <v>1.553</v>
      </c>
      <c r="K329" s="18" t="n">
        <v>157.87</v>
      </c>
      <c r="L329" s="18" t="n">
        <v>401.99</v>
      </c>
      <c r="M329" s="18" t="n">
        <f aca="false">IF(J329="","",ROUND(MAX(I329*J329,K329),2))</f>
        <v>402.07</v>
      </c>
      <c r="N329" s="18" t="n">
        <f aca="false">IF(M329="","",ROUND(L329-M329,2))</f>
        <v>-0.08</v>
      </c>
      <c r="O329" s="19" t="n">
        <f aca="false">IF(M329="","",N329/M329)</f>
        <v>-0.000198970328549755</v>
      </c>
      <c r="P329" s="14" t="str">
        <f aca="false">IF(M329="","SEM TARIFA NO CONTRATO",IF(N329&gt;Resumo!$B$4,"ACIMA DA TABELA",IF(N329&lt;-Resumo!$B$4,"ABAIXO DA TABELA","OK")))</f>
        <v>OK</v>
      </c>
    </row>
    <row r="330" customFormat="false" ht="15" hidden="false" customHeight="false" outlineLevel="0" collapsed="false">
      <c r="A330" s="14" t="s">
        <v>714</v>
      </c>
      <c r="B330" s="14" t="s">
        <v>715</v>
      </c>
      <c r="C330" s="14" t="s">
        <v>21</v>
      </c>
      <c r="D330" s="15" t="n">
        <v>46167</v>
      </c>
      <c r="E330" s="14" t="n">
        <f aca="false">MONTH(D330)</f>
        <v>5</v>
      </c>
      <c r="F330" s="14" t="s">
        <v>49</v>
      </c>
      <c r="G330" s="14" t="s">
        <v>50</v>
      </c>
      <c r="H330" s="14" t="s">
        <v>51</v>
      </c>
      <c r="I330" s="16" t="n">
        <v>347.6</v>
      </c>
      <c r="J330" s="17" t="n">
        <v>4.884</v>
      </c>
      <c r="K330" s="18" t="n">
        <v>415.8</v>
      </c>
      <c r="L330" s="18" t="n">
        <v>1697.33</v>
      </c>
      <c r="M330" s="18" t="n">
        <f aca="false">IF(J330="","",ROUND(MAX(I330*J330,K330),2))</f>
        <v>1697.68</v>
      </c>
      <c r="N330" s="18" t="n">
        <f aca="false">IF(M330="","",ROUND(L330-M330,2))</f>
        <v>-0.35</v>
      </c>
      <c r="O330" s="19" t="n">
        <f aca="false">IF(M330="","",N330/M330)</f>
        <v>-0.000206163705763159</v>
      </c>
      <c r="P330" s="14" t="str">
        <f aca="false">IF(M330="","SEM TARIFA NO CONTRATO",IF(N330&gt;Resumo!$B$4,"ACIMA DA TABELA",IF(N330&lt;-Resumo!$B$4,"ABAIXO DA TABELA","OK")))</f>
        <v>OK</v>
      </c>
    </row>
    <row r="331" customFormat="false" ht="15" hidden="false" customHeight="false" outlineLevel="0" collapsed="false">
      <c r="A331" s="14" t="s">
        <v>716</v>
      </c>
      <c r="B331" s="14" t="s">
        <v>717</v>
      </c>
      <c r="C331" s="14" t="s">
        <v>25</v>
      </c>
      <c r="D331" s="15" t="n">
        <v>46167</v>
      </c>
      <c r="E331" s="14" t="n">
        <f aca="false">MONTH(D331)</f>
        <v>5</v>
      </c>
      <c r="F331" s="14" t="s">
        <v>79</v>
      </c>
      <c r="G331" s="14" t="s">
        <v>50</v>
      </c>
      <c r="H331" s="14" t="s">
        <v>46</v>
      </c>
      <c r="I331" s="16" t="n">
        <v>1020.8</v>
      </c>
      <c r="J331" s="17" t="n">
        <v>0.342</v>
      </c>
      <c r="K331" s="18" t="n">
        <v>68.4</v>
      </c>
      <c r="L331" s="18" t="n">
        <v>349.03</v>
      </c>
      <c r="M331" s="18" t="n">
        <f aca="false">IF(J331="","",ROUND(MAX(I331*J331,K331),2))</f>
        <v>349.11</v>
      </c>
      <c r="N331" s="18" t="n">
        <f aca="false">IF(M331="","",ROUND(L331-M331,2))</f>
        <v>-0.08</v>
      </c>
      <c r="O331" s="19" t="n">
        <f aca="false">IF(M331="","",N331/M331)</f>
        <v>-0.00022915413479992</v>
      </c>
      <c r="P331" s="14" t="str">
        <f aca="false">IF(M331="","SEM TARIFA NO CONTRATO",IF(N331&gt;Resumo!$B$4,"ACIMA DA TABELA",IF(N331&lt;-Resumo!$B$4,"ABAIXO DA TABELA","OK")))</f>
        <v>OK</v>
      </c>
    </row>
    <row r="332" customFormat="false" ht="15" hidden="false" customHeight="false" outlineLevel="0" collapsed="false">
      <c r="A332" s="14" t="s">
        <v>718</v>
      </c>
      <c r="B332" s="14" t="s">
        <v>719</v>
      </c>
      <c r="C332" s="14" t="s">
        <v>21</v>
      </c>
      <c r="D332" s="15" t="n">
        <v>46168</v>
      </c>
      <c r="E332" s="14" t="n">
        <f aca="false">MONTH(D332)</f>
        <v>5</v>
      </c>
      <c r="F332" s="14" t="s">
        <v>67</v>
      </c>
      <c r="G332" s="14" t="s">
        <v>50</v>
      </c>
      <c r="H332" s="14" t="s">
        <v>68</v>
      </c>
      <c r="I332" s="16" t="n">
        <v>804.1</v>
      </c>
      <c r="J332" s="17" t="n">
        <v>2.156</v>
      </c>
      <c r="K332" s="18" t="n">
        <v>211.2</v>
      </c>
      <c r="L332" s="18" t="n">
        <v>1821.98</v>
      </c>
      <c r="M332" s="18" t="n">
        <f aca="false">IF(J332="","",ROUND(MAX(I332*J332,K332),2))</f>
        <v>1733.64</v>
      </c>
      <c r="N332" s="18" t="n">
        <f aca="false">IF(M332="","",ROUND(L332-M332,2))</f>
        <v>88.34</v>
      </c>
      <c r="O332" s="19" t="n">
        <f aca="false">IF(M332="","",N332/M332)</f>
        <v>0.0509563692577467</v>
      </c>
      <c r="P332" s="14" t="str">
        <f aca="false">IF(M332="","SEM TARIFA NO CONTRATO",IF(N332&gt;Resumo!$B$4,"ACIMA DA TABELA",IF(N332&lt;-Resumo!$B$4,"ABAIXO DA TABELA","OK")))</f>
        <v>ACIMA DA TABELA</v>
      </c>
    </row>
    <row r="333" customFormat="false" ht="15" hidden="false" customHeight="false" outlineLevel="0" collapsed="false">
      <c r="A333" s="14" t="s">
        <v>720</v>
      </c>
      <c r="B333" s="14" t="s">
        <v>721</v>
      </c>
      <c r="C333" s="14" t="s">
        <v>24</v>
      </c>
      <c r="D333" s="15" t="n">
        <v>46168</v>
      </c>
      <c r="E333" s="14" t="n">
        <f aca="false">MONTH(D333)</f>
        <v>5</v>
      </c>
      <c r="F333" s="14" t="s">
        <v>79</v>
      </c>
      <c r="G333" s="14" t="s">
        <v>50</v>
      </c>
      <c r="H333" s="14" t="s">
        <v>46</v>
      </c>
      <c r="I333" s="16" t="n">
        <v>107.5</v>
      </c>
      <c r="J333" s="17" t="n">
        <v>0.36</v>
      </c>
      <c r="K333" s="18" t="n">
        <v>72</v>
      </c>
      <c r="L333" s="18" t="n">
        <v>71.82</v>
      </c>
      <c r="M333" s="18" t="n">
        <f aca="false">IF(J333="","",ROUND(MAX(I333*J333,K333),2))</f>
        <v>72</v>
      </c>
      <c r="N333" s="18" t="n">
        <f aca="false">IF(M333="","",ROUND(L333-M333,2))</f>
        <v>-0.18</v>
      </c>
      <c r="O333" s="19" t="n">
        <f aca="false">IF(M333="","",N333/M333)</f>
        <v>-0.0025</v>
      </c>
      <c r="P333" s="14" t="str">
        <f aca="false">IF(M333="","SEM TARIFA NO CONTRATO",IF(N333&gt;Resumo!$B$4,"ACIMA DA TABELA",IF(N333&lt;-Resumo!$B$4,"ABAIXO DA TABELA","OK")))</f>
        <v>OK</v>
      </c>
    </row>
    <row r="334" customFormat="false" ht="15" hidden="false" customHeight="false" outlineLevel="0" collapsed="false">
      <c r="A334" s="14" t="s">
        <v>722</v>
      </c>
      <c r="B334" s="14" t="s">
        <v>723</v>
      </c>
      <c r="C334" s="14" t="s">
        <v>21</v>
      </c>
      <c r="D334" s="15" t="n">
        <v>46169</v>
      </c>
      <c r="E334" s="14" t="n">
        <f aca="false">MONTH(D334)</f>
        <v>5</v>
      </c>
      <c r="F334" s="14" t="s">
        <v>118</v>
      </c>
      <c r="G334" s="14" t="s">
        <v>50</v>
      </c>
      <c r="H334" s="14" t="s">
        <v>119</v>
      </c>
      <c r="I334" s="16" t="n">
        <v>856.6</v>
      </c>
      <c r="J334" s="17" t="n">
        <v>3.6696</v>
      </c>
      <c r="K334" s="18" t="n">
        <v>324.72</v>
      </c>
      <c r="L334" s="18" t="n">
        <v>3364.74</v>
      </c>
      <c r="M334" s="18" t="n">
        <f aca="false">IF(J334="","",ROUND(MAX(I334*J334,K334),2))</f>
        <v>3143.38</v>
      </c>
      <c r="N334" s="18" t="n">
        <f aca="false">IF(M334="","",ROUND(L334-M334,2))</f>
        <v>221.36</v>
      </c>
      <c r="O334" s="19" t="n">
        <f aca="false">IF(M334="","",N334/M334)</f>
        <v>0.0704210117771316</v>
      </c>
      <c r="P334" s="14" t="str">
        <f aca="false">IF(M334="","SEM TARIFA NO CONTRATO",IF(N334&gt;Resumo!$B$4,"ACIMA DA TABELA",IF(N334&lt;-Resumo!$B$4,"ABAIXO DA TABELA","OK")))</f>
        <v>ACIMA DA TABELA</v>
      </c>
    </row>
    <row r="335" customFormat="false" ht="15" hidden="false" customHeight="false" outlineLevel="0" collapsed="false">
      <c r="A335" s="14" t="s">
        <v>724</v>
      </c>
      <c r="B335" s="14" t="s">
        <v>725</v>
      </c>
      <c r="C335" s="14" t="s">
        <v>21</v>
      </c>
      <c r="D335" s="15" t="n">
        <v>46169</v>
      </c>
      <c r="E335" s="14" t="n">
        <f aca="false">MONTH(D335)</f>
        <v>5</v>
      </c>
      <c r="F335" s="14" t="s">
        <v>61</v>
      </c>
      <c r="G335" s="14" t="s">
        <v>50</v>
      </c>
      <c r="H335" s="14" t="s">
        <v>62</v>
      </c>
      <c r="I335" s="16" t="n">
        <v>1088.9</v>
      </c>
      <c r="J335" s="17" t="n">
        <v>1.1</v>
      </c>
      <c r="K335" s="18" t="n">
        <v>132</v>
      </c>
      <c r="L335" s="18" t="n">
        <v>1197.91</v>
      </c>
      <c r="M335" s="18" t="n">
        <f aca="false">IF(J335="","",ROUND(MAX(I335*J335,K335),2))</f>
        <v>1197.79</v>
      </c>
      <c r="N335" s="18" t="n">
        <f aca="false">IF(M335="","",ROUND(L335-M335,2))</f>
        <v>0.12</v>
      </c>
      <c r="O335" s="19" t="n">
        <f aca="false">IF(M335="","",N335/M335)</f>
        <v>0.000100184506466075</v>
      </c>
      <c r="P335" s="14" t="str">
        <f aca="false">IF(M335="","SEM TARIFA NO CONTRATO",IF(N335&gt;Resumo!$B$4,"ACIMA DA TABELA",IF(N335&lt;-Resumo!$B$4,"ABAIXO DA TABELA","OK")))</f>
        <v>OK</v>
      </c>
    </row>
    <row r="336" customFormat="false" ht="15" hidden="false" customHeight="false" outlineLevel="0" collapsed="false">
      <c r="A336" s="14" t="s">
        <v>726</v>
      </c>
      <c r="B336" s="14" t="s">
        <v>727</v>
      </c>
      <c r="C336" s="14" t="s">
        <v>25</v>
      </c>
      <c r="D336" s="15" t="n">
        <v>46169</v>
      </c>
      <c r="E336" s="14" t="n">
        <f aca="false">MONTH(D336)</f>
        <v>5</v>
      </c>
      <c r="F336" s="14" t="s">
        <v>104</v>
      </c>
      <c r="G336" s="14" t="s">
        <v>45</v>
      </c>
      <c r="H336" s="14" t="s">
        <v>68</v>
      </c>
      <c r="I336" s="16" t="n">
        <v>444.4</v>
      </c>
      <c r="J336" s="17" t="n">
        <v>1.254</v>
      </c>
      <c r="K336" s="18" t="n">
        <v>136.8</v>
      </c>
      <c r="L336" s="18" t="n">
        <v>625.66</v>
      </c>
      <c r="M336" s="18" t="n">
        <f aca="false">IF(J336="","",ROUND(MAX(I336*J336,K336),2))</f>
        <v>557.28</v>
      </c>
      <c r="N336" s="18" t="n">
        <f aca="false">IF(M336="","",ROUND(L336-M336,2))</f>
        <v>68.38</v>
      </c>
      <c r="O336" s="19" t="n">
        <f aca="false">IF(M336="","",N336/M336)</f>
        <v>0.122703129486075</v>
      </c>
      <c r="P336" s="14" t="str">
        <f aca="false">IF(M336="","SEM TARIFA NO CONTRATO",IF(N336&gt;Resumo!$B$4,"ACIMA DA TABELA",IF(N336&lt;-Resumo!$B$4,"ABAIXO DA TABELA","OK")))</f>
        <v>ACIMA DA TABELA</v>
      </c>
    </row>
    <row r="337" customFormat="false" ht="15" hidden="false" customHeight="false" outlineLevel="0" collapsed="false">
      <c r="A337" s="14" t="s">
        <v>728</v>
      </c>
      <c r="B337" s="14" t="s">
        <v>729</v>
      </c>
      <c r="C337" s="14" t="s">
        <v>25</v>
      </c>
      <c r="D337" s="15" t="n">
        <v>46170</v>
      </c>
      <c r="E337" s="14" t="n">
        <f aca="false">MONTH(D337)</f>
        <v>5</v>
      </c>
      <c r="F337" s="14" t="s">
        <v>56</v>
      </c>
      <c r="G337" s="14" t="s">
        <v>50</v>
      </c>
      <c r="H337" s="14" t="s">
        <v>45</v>
      </c>
      <c r="I337" s="16" t="n">
        <v>749</v>
      </c>
      <c r="J337" s="17" t="n">
        <v>0.8132</v>
      </c>
      <c r="K337" s="18" t="n">
        <v>103.74</v>
      </c>
      <c r="L337" s="18" t="n">
        <v>642.03</v>
      </c>
      <c r="M337" s="18" t="n">
        <f aca="false">IF(J337="","",ROUND(MAX(I337*J337,K337),2))</f>
        <v>609.09</v>
      </c>
      <c r="N337" s="18" t="n">
        <f aca="false">IF(M337="","",ROUND(L337-M337,2))</f>
        <v>32.94</v>
      </c>
      <c r="O337" s="19" t="n">
        <f aca="false">IF(M337="","",N337/M337)</f>
        <v>0.0540806777323548</v>
      </c>
      <c r="P337" s="14" t="str">
        <f aca="false">IF(M337="","SEM TARIFA NO CONTRATO",IF(N337&gt;Resumo!$B$4,"ACIMA DA TABELA",IF(N337&lt;-Resumo!$B$4,"ABAIXO DA TABELA","OK")))</f>
        <v>ACIMA DA TABELA</v>
      </c>
    </row>
    <row r="338" customFormat="false" ht="15" hidden="false" customHeight="false" outlineLevel="0" collapsed="false">
      <c r="A338" s="14" t="s">
        <v>730</v>
      </c>
      <c r="B338" s="14" t="s">
        <v>731</v>
      </c>
      <c r="C338" s="14" t="s">
        <v>21</v>
      </c>
      <c r="D338" s="15" t="n">
        <v>46170</v>
      </c>
      <c r="E338" s="14" t="n">
        <f aca="false">MONTH(D338)</f>
        <v>5</v>
      </c>
      <c r="F338" s="14" t="s">
        <v>67</v>
      </c>
      <c r="G338" s="14" t="s">
        <v>50</v>
      </c>
      <c r="H338" s="14" t="s">
        <v>68</v>
      </c>
      <c r="I338" s="16" t="n">
        <v>130.6</v>
      </c>
      <c r="J338" s="17" t="n">
        <v>2.156</v>
      </c>
      <c r="K338" s="18" t="n">
        <v>211.2</v>
      </c>
      <c r="L338" s="18" t="n">
        <v>337.4</v>
      </c>
      <c r="M338" s="18" t="n">
        <f aca="false">IF(J338="","",ROUND(MAX(I338*J338,K338),2))</f>
        <v>281.57</v>
      </c>
      <c r="N338" s="18" t="n">
        <f aca="false">IF(M338="","",ROUND(L338-M338,2))</f>
        <v>55.83</v>
      </c>
      <c r="O338" s="19" t="n">
        <f aca="false">IF(M338="","",N338/M338)</f>
        <v>0.198281066875022</v>
      </c>
      <c r="P338" s="14" t="str">
        <f aca="false">IF(M338="","SEM TARIFA NO CONTRATO",IF(N338&gt;Resumo!$B$4,"ACIMA DA TABELA",IF(N338&lt;-Resumo!$B$4,"ABAIXO DA TABELA","OK")))</f>
        <v>ACIMA DA TABELA</v>
      </c>
    </row>
    <row r="339" customFormat="false" ht="15" hidden="false" customHeight="false" outlineLevel="0" collapsed="false">
      <c r="A339" s="14" t="s">
        <v>732</v>
      </c>
      <c r="B339" s="14" t="s">
        <v>733</v>
      </c>
      <c r="C339" s="14" t="s">
        <v>23</v>
      </c>
      <c r="D339" s="15" t="n">
        <v>46170</v>
      </c>
      <c r="E339" s="14" t="n">
        <f aca="false">MONTH(D339)</f>
        <v>5</v>
      </c>
      <c r="F339" s="14" t="s">
        <v>118</v>
      </c>
      <c r="G339" s="14" t="s">
        <v>50</v>
      </c>
      <c r="H339" s="14" t="s">
        <v>119</v>
      </c>
      <c r="I339" s="16" t="n">
        <v>1368.3</v>
      </c>
      <c r="J339" s="17" t="n">
        <v>3.0691</v>
      </c>
      <c r="K339" s="18" t="n">
        <v>271.58</v>
      </c>
      <c r="L339" s="18" t="n">
        <v>4199.44</v>
      </c>
      <c r="M339" s="18" t="n">
        <f aca="false">IF(J339="","",ROUND(MAX(I339*J339,K339),2))</f>
        <v>4199.45</v>
      </c>
      <c r="N339" s="18" t="n">
        <f aca="false">IF(M339="","",ROUND(L339-M339,2))</f>
        <v>-0.01</v>
      </c>
      <c r="O339" s="19" t="n">
        <f aca="false">IF(M339="","",N339/M339)</f>
        <v>-2.38126421317077E-006</v>
      </c>
      <c r="P339" s="14" t="str">
        <f aca="false">IF(M339="","SEM TARIFA NO CONTRATO",IF(N339&gt;Resumo!$B$4,"ACIMA DA TABELA",IF(N339&lt;-Resumo!$B$4,"ABAIXO DA TABELA","OK")))</f>
        <v>OK</v>
      </c>
    </row>
    <row r="340" customFormat="false" ht="15" hidden="false" customHeight="false" outlineLevel="0" collapsed="false">
      <c r="A340" s="14" t="s">
        <v>734</v>
      </c>
      <c r="B340" s="14" t="s">
        <v>735</v>
      </c>
      <c r="C340" s="14" t="s">
        <v>24</v>
      </c>
      <c r="D340" s="15" t="n">
        <v>46170</v>
      </c>
      <c r="E340" s="14" t="n">
        <f aca="false">MONTH(D340)</f>
        <v>5</v>
      </c>
      <c r="F340" s="14" t="s">
        <v>118</v>
      </c>
      <c r="G340" s="14" t="s">
        <v>50</v>
      </c>
      <c r="H340" s="14" t="s">
        <v>119</v>
      </c>
      <c r="I340" s="16" t="n">
        <v>454.4</v>
      </c>
      <c r="J340" s="17"/>
      <c r="K340" s="18"/>
      <c r="L340" s="18" t="n">
        <v>1894.85</v>
      </c>
      <c r="M340" s="18" t="str">
        <f aca="false">IF(J340="","",ROUND(MAX(I340*J340,K340),2))</f>
        <v/>
      </c>
      <c r="N340" s="18" t="str">
        <f aca="false">IF(M340="","",ROUND(L340-M340,2))</f>
        <v/>
      </c>
      <c r="O340" s="19" t="str">
        <f aca="false">IF(M340="","",N340/M340)</f>
        <v/>
      </c>
      <c r="P340" s="14" t="str">
        <f aca="false">IF(M340="","SEM TARIFA NO CONTRATO",IF(N340&gt;Resumo!$B$4,"ACIMA DA TABELA",IF(N340&lt;-Resumo!$B$4,"ABAIXO DA TABELA","OK")))</f>
        <v>SEM TARIFA NO CONTRATO</v>
      </c>
    </row>
    <row r="341" customFormat="false" ht="15" hidden="false" customHeight="false" outlineLevel="0" collapsed="false">
      <c r="A341" s="14" t="s">
        <v>736</v>
      </c>
      <c r="B341" s="14" t="s">
        <v>737</v>
      </c>
      <c r="C341" s="14" t="s">
        <v>25</v>
      </c>
      <c r="D341" s="15" t="n">
        <v>46171</v>
      </c>
      <c r="E341" s="14" t="n">
        <f aca="false">MONTH(D341)</f>
        <v>5</v>
      </c>
      <c r="F341" s="14" t="s">
        <v>44</v>
      </c>
      <c r="G341" s="14" t="s">
        <v>45</v>
      </c>
      <c r="H341" s="14" t="s">
        <v>46</v>
      </c>
      <c r="I341" s="16" t="n">
        <v>674.5</v>
      </c>
      <c r="J341" s="17" t="n">
        <v>0.8132</v>
      </c>
      <c r="K341" s="18" t="n">
        <v>103.74</v>
      </c>
      <c r="L341" s="18" t="n">
        <v>548.3</v>
      </c>
      <c r="M341" s="18" t="n">
        <f aca="false">IF(J341="","",ROUND(MAX(I341*J341,K341),2))</f>
        <v>548.5</v>
      </c>
      <c r="N341" s="18" t="n">
        <f aca="false">IF(M341="","",ROUND(L341-M341,2))</f>
        <v>-0.2</v>
      </c>
      <c r="O341" s="19" t="n">
        <f aca="false">IF(M341="","",N341/M341)</f>
        <v>-0.000364630811303555</v>
      </c>
      <c r="P341" s="14" t="str">
        <f aca="false">IF(M341="","SEM TARIFA NO CONTRATO",IF(N341&gt;Resumo!$B$4,"ACIMA DA TABELA",IF(N341&lt;-Resumo!$B$4,"ABAIXO DA TABELA","OK")))</f>
        <v>OK</v>
      </c>
    </row>
    <row r="342" customFormat="false" ht="15" hidden="false" customHeight="false" outlineLevel="0" collapsed="false">
      <c r="A342" s="14" t="s">
        <v>738</v>
      </c>
      <c r="B342" s="14" t="s">
        <v>739</v>
      </c>
      <c r="C342" s="14" t="s">
        <v>22</v>
      </c>
      <c r="D342" s="15" t="n">
        <v>46171</v>
      </c>
      <c r="E342" s="14" t="n">
        <f aca="false">MONTH(D342)</f>
        <v>5</v>
      </c>
      <c r="F342" s="14" t="s">
        <v>56</v>
      </c>
      <c r="G342" s="14" t="s">
        <v>50</v>
      </c>
      <c r="H342" s="14" t="s">
        <v>45</v>
      </c>
      <c r="I342" s="16" t="n">
        <v>554.2</v>
      </c>
      <c r="J342" s="17" t="n">
        <v>0.8988</v>
      </c>
      <c r="K342" s="18" t="n">
        <v>114.66</v>
      </c>
      <c r="L342" s="18" t="n">
        <v>498.5</v>
      </c>
      <c r="M342" s="18" t="n">
        <f aca="false">IF(J342="","",ROUND(MAX(I342*J342,K342),2))</f>
        <v>498.11</v>
      </c>
      <c r="N342" s="18" t="n">
        <f aca="false">IF(M342="","",ROUND(L342-M342,2))</f>
        <v>0.39</v>
      </c>
      <c r="O342" s="19" t="n">
        <f aca="false">IF(M342="","",N342/M342)</f>
        <v>0.000782959587239766</v>
      </c>
      <c r="P342" s="14" t="str">
        <f aca="false">IF(M342="","SEM TARIFA NO CONTRATO",IF(N342&gt;Resumo!$B$4,"ACIMA DA TABELA",IF(N342&lt;-Resumo!$B$4,"ABAIXO DA TABELA","OK")))</f>
        <v>OK</v>
      </c>
    </row>
    <row r="343" customFormat="false" ht="15" hidden="false" customHeight="false" outlineLevel="0" collapsed="false">
      <c r="A343" s="14" t="s">
        <v>740</v>
      </c>
      <c r="B343" s="14" t="s">
        <v>741</v>
      </c>
      <c r="C343" s="14" t="s">
        <v>23</v>
      </c>
      <c r="D343" s="15" t="n">
        <v>46171</v>
      </c>
      <c r="E343" s="14" t="n">
        <f aca="false">MONTH(D343)</f>
        <v>5</v>
      </c>
      <c r="F343" s="14" t="s">
        <v>118</v>
      </c>
      <c r="G343" s="14" t="s">
        <v>50</v>
      </c>
      <c r="H343" s="14" t="s">
        <v>119</v>
      </c>
      <c r="I343" s="16" t="n">
        <v>5214.3</v>
      </c>
      <c r="J343" s="17" t="n">
        <v>3.0691</v>
      </c>
      <c r="K343" s="18" t="n">
        <v>271.58</v>
      </c>
      <c r="L343" s="18" t="n">
        <v>16003.22</v>
      </c>
      <c r="M343" s="18" t="n">
        <f aca="false">IF(J343="","",ROUND(MAX(I343*J343,K343),2))</f>
        <v>16003.21</v>
      </c>
      <c r="N343" s="18" t="n">
        <f aca="false">IF(M343="","",ROUND(L343-M343,2))</f>
        <v>0.01</v>
      </c>
      <c r="O343" s="19" t="n">
        <f aca="false">IF(M343="","",N343/M343)</f>
        <v>6.24874634526448E-007</v>
      </c>
      <c r="P343" s="14" t="str">
        <f aca="false">IF(M343="","SEM TARIFA NO CONTRATO",IF(N343&gt;Resumo!$B$4,"ACIMA DA TABELA",IF(N343&lt;-Resumo!$B$4,"ABAIXO DA TABELA","OK")))</f>
        <v>OK</v>
      </c>
    </row>
    <row r="344" customFormat="false" ht="15" hidden="false" customHeight="false" outlineLevel="0" collapsed="false">
      <c r="A344" s="14" t="s">
        <v>742</v>
      </c>
      <c r="B344" s="14" t="s">
        <v>743</v>
      </c>
      <c r="C344" s="14" t="s">
        <v>22</v>
      </c>
      <c r="D344" s="15" t="n">
        <v>46171</v>
      </c>
      <c r="E344" s="14" t="n">
        <f aca="false">MONTH(D344)</f>
        <v>5</v>
      </c>
      <c r="F344" s="14" t="s">
        <v>61</v>
      </c>
      <c r="G344" s="14" t="s">
        <v>50</v>
      </c>
      <c r="H344" s="14" t="s">
        <v>62</v>
      </c>
      <c r="I344" s="16" t="n">
        <v>1066.4</v>
      </c>
      <c r="J344" s="17"/>
      <c r="K344" s="18"/>
      <c r="L344" s="18" t="n">
        <v>1333</v>
      </c>
      <c r="M344" s="18" t="str">
        <f aca="false">IF(J344="","",ROUND(MAX(I344*J344,K344),2))</f>
        <v/>
      </c>
      <c r="N344" s="18" t="str">
        <f aca="false">IF(M344="","",ROUND(L344-M344,2))</f>
        <v/>
      </c>
      <c r="O344" s="19" t="str">
        <f aca="false">IF(M344="","",N344/M344)</f>
        <v/>
      </c>
      <c r="P344" s="14" t="str">
        <f aca="false">IF(M344="","SEM TARIFA NO CONTRATO",IF(N344&gt;Resumo!$B$4,"ACIMA DA TABELA",IF(N344&lt;-Resumo!$B$4,"ABAIXO DA TABELA","OK")))</f>
        <v>SEM TARIFA NO CONTRATO</v>
      </c>
    </row>
    <row r="345" customFormat="false" ht="15" hidden="false" customHeight="false" outlineLevel="0" collapsed="false">
      <c r="A345" s="14" t="s">
        <v>744</v>
      </c>
      <c r="B345" s="14" t="s">
        <v>745</v>
      </c>
      <c r="C345" s="14" t="s">
        <v>24</v>
      </c>
      <c r="D345" s="15" t="n">
        <v>46172</v>
      </c>
      <c r="E345" s="14" t="n">
        <f aca="false">MONTH(D345)</f>
        <v>5</v>
      </c>
      <c r="F345" s="14" t="s">
        <v>79</v>
      </c>
      <c r="G345" s="14" t="s">
        <v>50</v>
      </c>
      <c r="H345" s="14" t="s">
        <v>46</v>
      </c>
      <c r="I345" s="16" t="n">
        <v>698.4</v>
      </c>
      <c r="J345" s="17" t="n">
        <v>0.36</v>
      </c>
      <c r="K345" s="18" t="n">
        <v>72</v>
      </c>
      <c r="L345" s="18" t="n">
        <v>251.72</v>
      </c>
      <c r="M345" s="18" t="n">
        <f aca="false">IF(J345="","",ROUND(MAX(I345*J345,K345),2))</f>
        <v>251.42</v>
      </c>
      <c r="N345" s="18" t="n">
        <f aca="false">IF(M345="","",ROUND(L345-M345,2))</f>
        <v>0.3</v>
      </c>
      <c r="O345" s="19" t="n">
        <f aca="false">IF(M345="","",N345/M345)</f>
        <v>0.00119322249622146</v>
      </c>
      <c r="P345" s="14" t="str">
        <f aca="false">IF(M345="","SEM TARIFA NO CONTRATO",IF(N345&gt;Resumo!$B$4,"ACIMA DA TABELA",IF(N345&lt;-Resumo!$B$4,"ABAIXO DA TABELA","OK")))</f>
        <v>OK</v>
      </c>
    </row>
    <row r="346" customFormat="false" ht="15" hidden="false" customHeight="false" outlineLevel="0" collapsed="false">
      <c r="A346" s="14" t="s">
        <v>746</v>
      </c>
      <c r="B346" s="14" t="s">
        <v>747</v>
      </c>
      <c r="C346" s="14" t="s">
        <v>22</v>
      </c>
      <c r="D346" s="15" t="n">
        <v>46173</v>
      </c>
      <c r="E346" s="14" t="n">
        <f aca="false">MONTH(D346)</f>
        <v>5</v>
      </c>
      <c r="F346" s="14" t="s">
        <v>73</v>
      </c>
      <c r="G346" s="14" t="s">
        <v>50</v>
      </c>
      <c r="H346" s="14" t="s">
        <v>74</v>
      </c>
      <c r="I346" s="16" t="n">
        <v>122.2</v>
      </c>
      <c r="J346" s="17" t="n">
        <v>1.2012</v>
      </c>
      <c r="K346" s="18" t="n">
        <v>137.34</v>
      </c>
      <c r="L346" s="18" t="n">
        <v>146.63</v>
      </c>
      <c r="M346" s="18" t="n">
        <f aca="false">IF(J346="","",ROUND(MAX(I346*J346,K346),2))</f>
        <v>146.79</v>
      </c>
      <c r="N346" s="18" t="n">
        <f aca="false">IF(M346="","",ROUND(L346-M346,2))</f>
        <v>-0.16</v>
      </c>
      <c r="O346" s="19" t="n">
        <f aca="false">IF(M346="","",N346/M346)</f>
        <v>-0.00108999250630152</v>
      </c>
      <c r="P346" s="14" t="str">
        <f aca="false">IF(M346="","SEM TARIFA NO CONTRATO",IF(N346&gt;Resumo!$B$4,"ACIMA DA TABELA",IF(N346&lt;-Resumo!$B$4,"ABAIXO DA TABELA","OK")))</f>
        <v>OK</v>
      </c>
    </row>
    <row r="347" customFormat="false" ht="15" hidden="false" customHeight="false" outlineLevel="0" collapsed="false">
      <c r="A347" s="14" t="s">
        <v>748</v>
      </c>
      <c r="B347" s="14" t="s">
        <v>749</v>
      </c>
      <c r="C347" s="14" t="s">
        <v>21</v>
      </c>
      <c r="D347" s="15" t="n">
        <v>46173</v>
      </c>
      <c r="E347" s="14" t="n">
        <f aca="false">MONTH(D347)</f>
        <v>5</v>
      </c>
      <c r="F347" s="14" t="s">
        <v>49</v>
      </c>
      <c r="G347" s="14" t="s">
        <v>50</v>
      </c>
      <c r="H347" s="14" t="s">
        <v>51</v>
      </c>
      <c r="I347" s="16" t="n">
        <v>372.5</v>
      </c>
      <c r="J347" s="17" t="n">
        <v>4.884</v>
      </c>
      <c r="K347" s="18" t="n">
        <v>415.8</v>
      </c>
      <c r="L347" s="18" t="n">
        <v>2048.64</v>
      </c>
      <c r="M347" s="18" t="n">
        <f aca="false">IF(J347="","",ROUND(MAX(I347*J347,K347),2))</f>
        <v>1819.29</v>
      </c>
      <c r="N347" s="18" t="n">
        <f aca="false">IF(M347="","",ROUND(L347-M347,2))</f>
        <v>229.35</v>
      </c>
      <c r="O347" s="19" t="n">
        <f aca="false">IF(M347="","",N347/M347)</f>
        <v>0.126065662978415</v>
      </c>
      <c r="P347" s="14" t="str">
        <f aca="false">IF(M347="","SEM TARIFA NO CONTRATO",IF(N347&gt;Resumo!$B$4,"ACIMA DA TABELA",IF(N347&lt;-Resumo!$B$4,"ABAIXO DA TABELA","OK")))</f>
        <v>ACIMA DA TABELA</v>
      </c>
    </row>
    <row r="348" customFormat="false" ht="15" hidden="false" customHeight="false" outlineLevel="0" collapsed="false">
      <c r="A348" s="14" t="s">
        <v>750</v>
      </c>
      <c r="B348" s="14" t="s">
        <v>751</v>
      </c>
      <c r="C348" s="14" t="s">
        <v>22</v>
      </c>
      <c r="D348" s="15" t="n">
        <v>46173</v>
      </c>
      <c r="E348" s="14" t="n">
        <f aca="false">MONTH(D348)</f>
        <v>5</v>
      </c>
      <c r="F348" s="14" t="s">
        <v>49</v>
      </c>
      <c r="G348" s="14" t="s">
        <v>50</v>
      </c>
      <c r="H348" s="14" t="s">
        <v>51</v>
      </c>
      <c r="I348" s="16" t="n">
        <v>560.8</v>
      </c>
      <c r="J348" s="17" t="n">
        <v>4.662</v>
      </c>
      <c r="K348" s="18" t="n">
        <v>396.9</v>
      </c>
      <c r="L348" s="18" t="n">
        <v>2614.5</v>
      </c>
      <c r="M348" s="18" t="n">
        <f aca="false">IF(J348="","",ROUND(MAX(I348*J348,K348),2))</f>
        <v>2614.45</v>
      </c>
      <c r="N348" s="18" t="n">
        <f aca="false">IF(M348="","",ROUND(L348-M348,2))</f>
        <v>0.05</v>
      </c>
      <c r="O348" s="19" t="n">
        <f aca="false">IF(M348="","",N348/M348)</f>
        <v>1.91244812484461E-005</v>
      </c>
      <c r="P348" s="14" t="str">
        <f aca="false">IF(M348="","SEM TARIFA NO CONTRATO",IF(N348&gt;Resumo!$B$4,"ACIMA DA TABELA",IF(N348&lt;-Resumo!$B$4,"ABAIXO DA TABELA","OK")))</f>
        <v>OK</v>
      </c>
    </row>
    <row r="349" customFormat="false" ht="15" hidden="false" customHeight="false" outlineLevel="0" collapsed="false">
      <c r="A349" s="14" t="s">
        <v>752</v>
      </c>
      <c r="B349" s="14" t="s">
        <v>753</v>
      </c>
      <c r="C349" s="14" t="s">
        <v>25</v>
      </c>
      <c r="D349" s="15" t="n">
        <v>46174</v>
      </c>
      <c r="E349" s="14" t="n">
        <f aca="false">MONTH(D349)</f>
        <v>6</v>
      </c>
      <c r="F349" s="14" t="s">
        <v>61</v>
      </c>
      <c r="G349" s="14" t="s">
        <v>50</v>
      </c>
      <c r="H349" s="14" t="s">
        <v>62</v>
      </c>
      <c r="I349" s="16" t="n">
        <v>726</v>
      </c>
      <c r="J349" s="17" t="n">
        <v>0.95</v>
      </c>
      <c r="K349" s="18" t="n">
        <v>114</v>
      </c>
      <c r="L349" s="18" t="n">
        <v>769.9</v>
      </c>
      <c r="M349" s="18" t="n">
        <f aca="false">IF(J349="","",ROUND(MAX(I349*J349,K349),2))</f>
        <v>689.7</v>
      </c>
      <c r="N349" s="18" t="n">
        <f aca="false">IF(M349="","",ROUND(L349-M349,2))</f>
        <v>80.2</v>
      </c>
      <c r="O349" s="19" t="n">
        <f aca="false">IF(M349="","",N349/M349)</f>
        <v>0.116282441641293</v>
      </c>
      <c r="P349" s="14" t="str">
        <f aca="false">IF(M349="","SEM TARIFA NO CONTRATO",IF(N349&gt;Resumo!$B$4,"ACIMA DA TABELA",IF(N349&lt;-Resumo!$B$4,"ABAIXO DA TABELA","OK")))</f>
        <v>ACIMA DA TABELA</v>
      </c>
    </row>
    <row r="350" customFormat="false" ht="15" hidden="false" customHeight="false" outlineLevel="0" collapsed="false">
      <c r="A350" s="14" t="s">
        <v>754</v>
      </c>
      <c r="B350" s="14" t="s">
        <v>755</v>
      </c>
      <c r="C350" s="14" t="s">
        <v>25</v>
      </c>
      <c r="D350" s="15" t="n">
        <v>46174</v>
      </c>
      <c r="E350" s="14" t="n">
        <f aca="false">MONTH(D350)</f>
        <v>6</v>
      </c>
      <c r="F350" s="14" t="s">
        <v>73</v>
      </c>
      <c r="G350" s="14" t="s">
        <v>50</v>
      </c>
      <c r="H350" s="14" t="s">
        <v>74</v>
      </c>
      <c r="I350" s="16" t="n">
        <v>220.9</v>
      </c>
      <c r="J350" s="17" t="n">
        <v>1.0868</v>
      </c>
      <c r="K350" s="18" t="n">
        <v>124.26</v>
      </c>
      <c r="L350" s="18" t="n">
        <v>240.22</v>
      </c>
      <c r="M350" s="18" t="n">
        <f aca="false">IF(J350="","",ROUND(MAX(I350*J350,K350),2))</f>
        <v>240.07</v>
      </c>
      <c r="N350" s="18" t="n">
        <f aca="false">IF(M350="","",ROUND(L350-M350,2))</f>
        <v>0.15</v>
      </c>
      <c r="O350" s="19" t="n">
        <f aca="false">IF(M350="","",N350/M350)</f>
        <v>0.000624817761486233</v>
      </c>
      <c r="P350" s="14" t="str">
        <f aca="false">IF(M350="","SEM TARIFA NO CONTRATO",IF(N350&gt;Resumo!$B$4,"ACIMA DA TABELA",IF(N350&lt;-Resumo!$B$4,"ABAIXO DA TABELA","OK")))</f>
        <v>OK</v>
      </c>
    </row>
    <row r="351" customFormat="false" ht="15" hidden="false" customHeight="false" outlineLevel="0" collapsed="false">
      <c r="A351" s="14" t="s">
        <v>756</v>
      </c>
      <c r="B351" s="14" t="s">
        <v>757</v>
      </c>
      <c r="C351" s="14" t="s">
        <v>21</v>
      </c>
      <c r="D351" s="15" t="n">
        <v>46174</v>
      </c>
      <c r="E351" s="14" t="n">
        <f aca="false">MONTH(D351)</f>
        <v>6</v>
      </c>
      <c r="F351" s="14" t="s">
        <v>61</v>
      </c>
      <c r="G351" s="14" t="s">
        <v>50</v>
      </c>
      <c r="H351" s="14" t="s">
        <v>62</v>
      </c>
      <c r="I351" s="16" t="n">
        <v>2450.5</v>
      </c>
      <c r="J351" s="17" t="n">
        <v>1.1</v>
      </c>
      <c r="K351" s="18" t="n">
        <v>132</v>
      </c>
      <c r="L351" s="18" t="n">
        <v>3110.31</v>
      </c>
      <c r="M351" s="18" t="n">
        <f aca="false">IF(J351="","",ROUND(MAX(I351*J351,K351),2))</f>
        <v>2695.55</v>
      </c>
      <c r="N351" s="18" t="n">
        <f aca="false">IF(M351="","",ROUND(L351-M351,2))</f>
        <v>414.76</v>
      </c>
      <c r="O351" s="19" t="n">
        <f aca="false">IF(M351="","",N351/M351)</f>
        <v>0.153868412754354</v>
      </c>
      <c r="P351" s="14" t="str">
        <f aca="false">IF(M351="","SEM TARIFA NO CONTRATO",IF(N351&gt;Resumo!$B$4,"ACIMA DA TABELA",IF(N351&lt;-Resumo!$B$4,"ABAIXO DA TABELA","OK")))</f>
        <v>ACIMA DA TABELA</v>
      </c>
    </row>
    <row r="352" customFormat="false" ht="15" hidden="false" customHeight="false" outlineLevel="0" collapsed="false">
      <c r="A352" s="14" t="s">
        <v>758</v>
      </c>
      <c r="B352" s="14" t="s">
        <v>759</v>
      </c>
      <c r="C352" s="14" t="s">
        <v>25</v>
      </c>
      <c r="D352" s="15" t="n">
        <v>46175</v>
      </c>
      <c r="E352" s="14" t="n">
        <f aca="false">MONTH(D352)</f>
        <v>6</v>
      </c>
      <c r="F352" s="14" t="s">
        <v>56</v>
      </c>
      <c r="G352" s="14" t="s">
        <v>50</v>
      </c>
      <c r="H352" s="14" t="s">
        <v>45</v>
      </c>
      <c r="I352" s="16" t="n">
        <v>223</v>
      </c>
      <c r="J352" s="17" t="n">
        <v>0.8132</v>
      </c>
      <c r="K352" s="18" t="n">
        <v>103.74</v>
      </c>
      <c r="L352" s="18" t="n">
        <v>181.43</v>
      </c>
      <c r="M352" s="18" t="n">
        <f aca="false">IF(J352="","",ROUND(MAX(I352*J352,K352),2))</f>
        <v>181.34</v>
      </c>
      <c r="N352" s="18" t="n">
        <f aca="false">IF(M352="","",ROUND(L352-M352,2))</f>
        <v>0.09</v>
      </c>
      <c r="O352" s="19" t="n">
        <f aca="false">IF(M352="","",N352/M352)</f>
        <v>0.000496305282894011</v>
      </c>
      <c r="P352" s="14" t="str">
        <f aca="false">IF(M352="","SEM TARIFA NO CONTRATO",IF(N352&gt;Resumo!$B$4,"ACIMA DA TABELA",IF(N352&lt;-Resumo!$B$4,"ABAIXO DA TABELA","OK")))</f>
        <v>OK</v>
      </c>
    </row>
    <row r="353" customFormat="false" ht="15" hidden="false" customHeight="false" outlineLevel="0" collapsed="false">
      <c r="A353" s="14" t="s">
        <v>760</v>
      </c>
      <c r="B353" s="14" t="s">
        <v>761</v>
      </c>
      <c r="C353" s="14" t="s">
        <v>21</v>
      </c>
      <c r="D353" s="15" t="n">
        <v>46175</v>
      </c>
      <c r="E353" s="14" t="n">
        <f aca="false">MONTH(D353)</f>
        <v>6</v>
      </c>
      <c r="F353" s="14" t="s">
        <v>73</v>
      </c>
      <c r="G353" s="14" t="s">
        <v>50</v>
      </c>
      <c r="H353" s="14" t="s">
        <v>74</v>
      </c>
      <c r="I353" s="16" t="n">
        <v>89.4</v>
      </c>
      <c r="J353" s="17" t="n">
        <v>1.2584</v>
      </c>
      <c r="K353" s="18" t="n">
        <v>143.88</v>
      </c>
      <c r="L353" s="18" t="n">
        <v>144.03</v>
      </c>
      <c r="M353" s="18" t="n">
        <f aca="false">IF(J353="","",ROUND(MAX(I353*J353,K353),2))</f>
        <v>143.88</v>
      </c>
      <c r="N353" s="18" t="n">
        <f aca="false">IF(M353="","",ROUND(L353-M353,2))</f>
        <v>0.15</v>
      </c>
      <c r="O353" s="19" t="n">
        <f aca="false">IF(M353="","",N353/M353)</f>
        <v>0.00104253544620517</v>
      </c>
      <c r="P353" s="14" t="str">
        <f aca="false">IF(M353="","SEM TARIFA NO CONTRATO",IF(N353&gt;Resumo!$B$4,"ACIMA DA TABELA",IF(N353&lt;-Resumo!$B$4,"ABAIXO DA TABELA","OK")))</f>
        <v>OK</v>
      </c>
    </row>
    <row r="354" customFormat="false" ht="15" hidden="false" customHeight="false" outlineLevel="0" collapsed="false">
      <c r="A354" s="14" t="s">
        <v>762</v>
      </c>
      <c r="B354" s="14" t="s">
        <v>763</v>
      </c>
      <c r="C354" s="14" t="s">
        <v>23</v>
      </c>
      <c r="D354" s="15" t="n">
        <v>46175</v>
      </c>
      <c r="E354" s="14" t="n">
        <f aca="false">MONTH(D354)</f>
        <v>6</v>
      </c>
      <c r="F354" s="14" t="s">
        <v>118</v>
      </c>
      <c r="G354" s="14" t="s">
        <v>50</v>
      </c>
      <c r="H354" s="14" t="s">
        <v>119</v>
      </c>
      <c r="I354" s="16" t="n">
        <v>181.9</v>
      </c>
      <c r="J354" s="17" t="n">
        <v>3.0691</v>
      </c>
      <c r="K354" s="18" t="n">
        <v>271.58</v>
      </c>
      <c r="L354" s="18" t="n">
        <v>657.18</v>
      </c>
      <c r="M354" s="18" t="n">
        <f aca="false">IF(J354="","",ROUND(MAX(I354*J354,K354),2))</f>
        <v>558.27</v>
      </c>
      <c r="N354" s="18" t="n">
        <f aca="false">IF(M354="","",ROUND(L354-M354,2))</f>
        <v>98.91</v>
      </c>
      <c r="O354" s="19" t="n">
        <f aca="false">IF(M354="","",N354/M354)</f>
        <v>0.177172335966468</v>
      </c>
      <c r="P354" s="14" t="str">
        <f aca="false">IF(M354="","SEM TARIFA NO CONTRATO",IF(N354&gt;Resumo!$B$4,"ACIMA DA TABELA",IF(N354&lt;-Resumo!$B$4,"ABAIXO DA TABELA","OK")))</f>
        <v>ACIMA DA TABELA</v>
      </c>
    </row>
    <row r="355" customFormat="false" ht="15" hidden="false" customHeight="false" outlineLevel="0" collapsed="false">
      <c r="A355" s="14" t="s">
        <v>764</v>
      </c>
      <c r="B355" s="14" t="s">
        <v>765</v>
      </c>
      <c r="C355" s="14" t="s">
        <v>24</v>
      </c>
      <c r="D355" s="15" t="n">
        <v>46176</v>
      </c>
      <c r="E355" s="14" t="n">
        <f aca="false">MONTH(D355)</f>
        <v>6</v>
      </c>
      <c r="F355" s="14" t="s">
        <v>44</v>
      </c>
      <c r="G355" s="14" t="s">
        <v>45</v>
      </c>
      <c r="H355" s="14" t="s">
        <v>46</v>
      </c>
      <c r="I355" s="16" t="n">
        <v>194.3</v>
      </c>
      <c r="J355" s="17" t="n">
        <v>0.856</v>
      </c>
      <c r="K355" s="18" t="n">
        <v>109.2</v>
      </c>
      <c r="L355" s="18" t="n">
        <v>189.5</v>
      </c>
      <c r="M355" s="18" t="n">
        <f aca="false">IF(J355="","",ROUND(MAX(I355*J355,K355),2))</f>
        <v>166.32</v>
      </c>
      <c r="N355" s="18" t="n">
        <f aca="false">IF(M355="","",ROUND(L355-M355,2))</f>
        <v>23.18</v>
      </c>
      <c r="O355" s="19" t="n">
        <f aca="false">IF(M355="","",N355/M355)</f>
        <v>0.139369889369889</v>
      </c>
      <c r="P355" s="14" t="str">
        <f aca="false">IF(M355="","SEM TARIFA NO CONTRATO",IF(N355&gt;Resumo!$B$4,"ACIMA DA TABELA",IF(N355&lt;-Resumo!$B$4,"ABAIXO DA TABELA","OK")))</f>
        <v>ACIMA DA TABELA</v>
      </c>
    </row>
    <row r="356" customFormat="false" ht="15" hidden="false" customHeight="false" outlineLevel="0" collapsed="false">
      <c r="A356" s="14" t="s">
        <v>766</v>
      </c>
      <c r="B356" s="14" t="s">
        <v>767</v>
      </c>
      <c r="C356" s="14" t="s">
        <v>21</v>
      </c>
      <c r="D356" s="15" t="n">
        <v>46176</v>
      </c>
      <c r="E356" s="14" t="n">
        <f aca="false">MONTH(D356)</f>
        <v>6</v>
      </c>
      <c r="F356" s="14" t="s">
        <v>88</v>
      </c>
      <c r="G356" s="14" t="s">
        <v>50</v>
      </c>
      <c r="H356" s="14" t="s">
        <v>89</v>
      </c>
      <c r="I356" s="16" t="n">
        <v>1089.8</v>
      </c>
      <c r="J356" s="17" t="n">
        <v>1.8568</v>
      </c>
      <c r="K356" s="18" t="n">
        <v>188.76</v>
      </c>
      <c r="L356" s="18" t="n">
        <v>2023.85</v>
      </c>
      <c r="M356" s="18" t="n">
        <f aca="false">IF(J356="","",ROUND(MAX(I356*J356,K356),2))</f>
        <v>2023.54</v>
      </c>
      <c r="N356" s="18" t="n">
        <f aca="false">IF(M356="","",ROUND(L356-M356,2))</f>
        <v>0.31</v>
      </c>
      <c r="O356" s="19" t="n">
        <f aca="false">IF(M356="","",N356/M356)</f>
        <v>0.000153196872807061</v>
      </c>
      <c r="P356" s="14" t="str">
        <f aca="false">IF(M356="","SEM TARIFA NO CONTRATO",IF(N356&gt;Resumo!$B$4,"ACIMA DA TABELA",IF(N356&lt;-Resumo!$B$4,"ABAIXO DA TABELA","OK")))</f>
        <v>OK</v>
      </c>
    </row>
    <row r="357" customFormat="false" ht="15" hidden="false" customHeight="false" outlineLevel="0" collapsed="false">
      <c r="A357" s="14" t="s">
        <v>768</v>
      </c>
      <c r="B357" s="14" t="s">
        <v>769</v>
      </c>
      <c r="C357" s="14" t="s">
        <v>22</v>
      </c>
      <c r="D357" s="15" t="n">
        <v>46176</v>
      </c>
      <c r="E357" s="14" t="n">
        <f aca="false">MONTH(D357)</f>
        <v>6</v>
      </c>
      <c r="F357" s="14" t="s">
        <v>104</v>
      </c>
      <c r="G357" s="14" t="s">
        <v>45</v>
      </c>
      <c r="H357" s="14" t="s">
        <v>68</v>
      </c>
      <c r="I357" s="16" t="n">
        <v>509.3</v>
      </c>
      <c r="J357" s="17" t="n">
        <v>1.386</v>
      </c>
      <c r="K357" s="18" t="n">
        <v>151.2</v>
      </c>
      <c r="L357" s="18" t="n">
        <v>705.75</v>
      </c>
      <c r="M357" s="18" t="n">
        <f aca="false">IF(J357="","",ROUND(MAX(I357*J357,K357),2))</f>
        <v>705.89</v>
      </c>
      <c r="N357" s="18" t="n">
        <f aca="false">IF(M357="","",ROUND(L357-M357,2))</f>
        <v>-0.14</v>
      </c>
      <c r="O357" s="19" t="n">
        <f aca="false">IF(M357="","",N357/M357)</f>
        <v>-0.000198331184745499</v>
      </c>
      <c r="P357" s="14" t="str">
        <f aca="false">IF(M357="","SEM TARIFA NO CONTRATO",IF(N357&gt;Resumo!$B$4,"ACIMA DA TABELA",IF(N357&lt;-Resumo!$B$4,"ABAIXO DA TABELA","OK")))</f>
        <v>OK</v>
      </c>
    </row>
    <row r="358" customFormat="false" ht="15" hidden="false" customHeight="false" outlineLevel="0" collapsed="false">
      <c r="A358" s="14" t="s">
        <v>770</v>
      </c>
      <c r="B358" s="14" t="s">
        <v>771</v>
      </c>
      <c r="C358" s="14" t="s">
        <v>25</v>
      </c>
      <c r="D358" s="15" t="n">
        <v>46176</v>
      </c>
      <c r="E358" s="14" t="n">
        <f aca="false">MONTH(D358)</f>
        <v>6</v>
      </c>
      <c r="F358" s="14" t="s">
        <v>44</v>
      </c>
      <c r="G358" s="14" t="s">
        <v>45</v>
      </c>
      <c r="H358" s="14" t="s">
        <v>46</v>
      </c>
      <c r="I358" s="16" t="n">
        <v>941.1</v>
      </c>
      <c r="J358" s="17" t="n">
        <v>0.8132</v>
      </c>
      <c r="K358" s="18" t="n">
        <v>103.74</v>
      </c>
      <c r="L358" s="18" t="n">
        <v>765.2</v>
      </c>
      <c r="M358" s="18" t="n">
        <f aca="false">IF(J358="","",ROUND(MAX(I358*J358,K358),2))</f>
        <v>765.3</v>
      </c>
      <c r="N358" s="18" t="n">
        <f aca="false">IF(M358="","",ROUND(L358-M358,2))</f>
        <v>-0.1</v>
      </c>
      <c r="O358" s="19" t="n">
        <f aca="false">IF(M358="","",N358/M358)</f>
        <v>-0.000130667712008363</v>
      </c>
      <c r="P358" s="14" t="str">
        <f aca="false">IF(M358="","SEM TARIFA NO CONTRATO",IF(N358&gt;Resumo!$B$4,"ACIMA DA TABELA",IF(N358&lt;-Resumo!$B$4,"ABAIXO DA TABELA","OK")))</f>
        <v>OK</v>
      </c>
    </row>
    <row r="359" customFormat="false" ht="15" hidden="false" customHeight="false" outlineLevel="0" collapsed="false">
      <c r="A359" s="14" t="s">
        <v>772</v>
      </c>
      <c r="B359" s="14" t="s">
        <v>773</v>
      </c>
      <c r="C359" s="14" t="s">
        <v>23</v>
      </c>
      <c r="D359" s="15" t="n">
        <v>46176</v>
      </c>
      <c r="E359" s="14" t="n">
        <f aca="false">MONTH(D359)</f>
        <v>6</v>
      </c>
      <c r="F359" s="14" t="s">
        <v>56</v>
      </c>
      <c r="G359" s="14" t="s">
        <v>50</v>
      </c>
      <c r="H359" s="14" t="s">
        <v>45</v>
      </c>
      <c r="I359" s="16" t="n">
        <v>1835</v>
      </c>
      <c r="J359" s="17" t="n">
        <v>0.7875</v>
      </c>
      <c r="K359" s="18" t="n">
        <v>100.46</v>
      </c>
      <c r="L359" s="18" t="n">
        <v>1445.32</v>
      </c>
      <c r="M359" s="18" t="n">
        <f aca="false">IF(J359="","",ROUND(MAX(I359*J359,K359),2))</f>
        <v>1445.06</v>
      </c>
      <c r="N359" s="18" t="n">
        <f aca="false">IF(M359="","",ROUND(L359-M359,2))</f>
        <v>0.26</v>
      </c>
      <c r="O359" s="19" t="n">
        <f aca="false">IF(M359="","",N359/M359)</f>
        <v>0.000179923324983046</v>
      </c>
      <c r="P359" s="14" t="str">
        <f aca="false">IF(M359="","SEM TARIFA NO CONTRATO",IF(N359&gt;Resumo!$B$4,"ACIMA DA TABELA",IF(N359&lt;-Resumo!$B$4,"ABAIXO DA TABELA","OK")))</f>
        <v>OK</v>
      </c>
    </row>
    <row r="360" customFormat="false" ht="15" hidden="false" customHeight="false" outlineLevel="0" collapsed="false">
      <c r="A360" s="14" t="s">
        <v>774</v>
      </c>
      <c r="B360" s="14" t="s">
        <v>775</v>
      </c>
      <c r="C360" s="14" t="s">
        <v>23</v>
      </c>
      <c r="D360" s="15" t="n">
        <v>46176</v>
      </c>
      <c r="E360" s="14" t="n">
        <f aca="false">MONTH(D360)</f>
        <v>6</v>
      </c>
      <c r="F360" s="14" t="s">
        <v>88</v>
      </c>
      <c r="G360" s="14" t="s">
        <v>50</v>
      </c>
      <c r="H360" s="14" t="s">
        <v>89</v>
      </c>
      <c r="I360" s="16" t="n">
        <v>214.5</v>
      </c>
      <c r="J360" s="17" t="n">
        <v>1.553</v>
      </c>
      <c r="K360" s="18" t="n">
        <v>157.87</v>
      </c>
      <c r="L360" s="18" t="n">
        <v>333.46</v>
      </c>
      <c r="M360" s="18" t="n">
        <f aca="false">IF(J360="","",ROUND(MAX(I360*J360,K360),2))</f>
        <v>333.12</v>
      </c>
      <c r="N360" s="18" t="n">
        <f aca="false">IF(M360="","",ROUND(L360-M360,2))</f>
        <v>0.34</v>
      </c>
      <c r="O360" s="19" t="n">
        <f aca="false">IF(M360="","",N360/M360)</f>
        <v>0.00102065321805956</v>
      </c>
      <c r="P360" s="14" t="str">
        <f aca="false">IF(M360="","SEM TARIFA NO CONTRATO",IF(N360&gt;Resumo!$B$4,"ACIMA DA TABELA",IF(N360&lt;-Resumo!$B$4,"ABAIXO DA TABELA","OK")))</f>
        <v>OK</v>
      </c>
    </row>
    <row r="361" customFormat="false" ht="15" hidden="false" customHeight="false" outlineLevel="0" collapsed="false">
      <c r="A361" s="14" t="s">
        <v>776</v>
      </c>
      <c r="B361" s="14" t="s">
        <v>777</v>
      </c>
      <c r="C361" s="14" t="s">
        <v>22</v>
      </c>
      <c r="D361" s="15" t="n">
        <v>46177</v>
      </c>
      <c r="E361" s="14" t="n">
        <f aca="false">MONTH(D361)</f>
        <v>6</v>
      </c>
      <c r="F361" s="14" t="s">
        <v>104</v>
      </c>
      <c r="G361" s="14" t="s">
        <v>45</v>
      </c>
      <c r="H361" s="14" t="s">
        <v>68</v>
      </c>
      <c r="I361" s="16" t="n">
        <v>154.9</v>
      </c>
      <c r="J361" s="17" t="n">
        <v>1.386</v>
      </c>
      <c r="K361" s="18" t="n">
        <v>151.2</v>
      </c>
      <c r="L361" s="18" t="n">
        <v>214.44</v>
      </c>
      <c r="M361" s="18" t="n">
        <f aca="false">IF(J361="","",ROUND(MAX(I361*J361,K361),2))</f>
        <v>214.69</v>
      </c>
      <c r="N361" s="18" t="n">
        <f aca="false">IF(M361="","",ROUND(L361-M361,2))</f>
        <v>-0.25</v>
      </c>
      <c r="O361" s="19" t="n">
        <f aca="false">IF(M361="","",N361/M361)</f>
        <v>-0.00116446970049839</v>
      </c>
      <c r="P361" s="14" t="str">
        <f aca="false">IF(M361="","SEM TARIFA NO CONTRATO",IF(N361&gt;Resumo!$B$4,"ACIMA DA TABELA",IF(N361&lt;-Resumo!$B$4,"ABAIXO DA TABELA","OK")))</f>
        <v>OK</v>
      </c>
    </row>
    <row r="362" customFormat="false" ht="15" hidden="false" customHeight="false" outlineLevel="0" collapsed="false">
      <c r="A362" s="14" t="s">
        <v>778</v>
      </c>
      <c r="B362" s="14" t="s">
        <v>779</v>
      </c>
      <c r="C362" s="14" t="s">
        <v>25</v>
      </c>
      <c r="D362" s="15" t="n">
        <v>46178</v>
      </c>
      <c r="E362" s="14" t="n">
        <f aca="false">MONTH(D362)</f>
        <v>6</v>
      </c>
      <c r="F362" s="14" t="s">
        <v>61</v>
      </c>
      <c r="G362" s="14" t="s">
        <v>50</v>
      </c>
      <c r="H362" s="14" t="s">
        <v>62</v>
      </c>
      <c r="I362" s="16" t="n">
        <v>781.9</v>
      </c>
      <c r="J362" s="17" t="n">
        <v>0.95</v>
      </c>
      <c r="K362" s="18" t="n">
        <v>114</v>
      </c>
      <c r="L362" s="18" t="n">
        <v>742.63</v>
      </c>
      <c r="M362" s="18" t="n">
        <f aca="false">IF(J362="","",ROUND(MAX(I362*J362,K362),2))</f>
        <v>742.81</v>
      </c>
      <c r="N362" s="18" t="n">
        <f aca="false">IF(M362="","",ROUND(L362-M362,2))</f>
        <v>-0.18</v>
      </c>
      <c r="O362" s="19" t="n">
        <f aca="false">IF(M362="","",N362/M362)</f>
        <v>-0.000242323070502551</v>
      </c>
      <c r="P362" s="14" t="str">
        <f aca="false">IF(M362="","SEM TARIFA NO CONTRATO",IF(N362&gt;Resumo!$B$4,"ACIMA DA TABELA",IF(N362&lt;-Resumo!$B$4,"ABAIXO DA TABELA","OK")))</f>
        <v>OK</v>
      </c>
    </row>
    <row r="363" customFormat="false" ht="15" hidden="false" customHeight="false" outlineLevel="0" collapsed="false">
      <c r="A363" s="14" t="s">
        <v>780</v>
      </c>
      <c r="B363" s="14" t="s">
        <v>781</v>
      </c>
      <c r="C363" s="14" t="s">
        <v>25</v>
      </c>
      <c r="D363" s="15" t="n">
        <v>46178</v>
      </c>
      <c r="E363" s="14" t="n">
        <f aca="false">MONTH(D363)</f>
        <v>6</v>
      </c>
      <c r="F363" s="14" t="s">
        <v>56</v>
      </c>
      <c r="G363" s="14" t="s">
        <v>50</v>
      </c>
      <c r="H363" s="14" t="s">
        <v>45</v>
      </c>
      <c r="I363" s="16" t="n">
        <v>130.5</v>
      </c>
      <c r="J363" s="17" t="n">
        <v>0.8132</v>
      </c>
      <c r="K363" s="18" t="n">
        <v>103.74</v>
      </c>
      <c r="L363" s="18" t="n">
        <v>106.44</v>
      </c>
      <c r="M363" s="18" t="n">
        <f aca="false">IF(J363="","",ROUND(MAX(I363*J363,K363),2))</f>
        <v>106.12</v>
      </c>
      <c r="N363" s="18" t="n">
        <f aca="false">IF(M363="","",ROUND(L363-M363,2))</f>
        <v>0.32</v>
      </c>
      <c r="O363" s="19" t="n">
        <f aca="false">IF(M363="","",N363/M363)</f>
        <v>0.0030154542027893</v>
      </c>
      <c r="P363" s="14" t="str">
        <f aca="false">IF(M363="","SEM TARIFA NO CONTRATO",IF(N363&gt;Resumo!$B$4,"ACIMA DA TABELA",IF(N363&lt;-Resumo!$B$4,"ABAIXO DA TABELA","OK")))</f>
        <v>OK</v>
      </c>
    </row>
    <row r="364" customFormat="false" ht="15" hidden="false" customHeight="false" outlineLevel="0" collapsed="false">
      <c r="A364" s="14" t="s">
        <v>782</v>
      </c>
      <c r="B364" s="14" t="s">
        <v>783</v>
      </c>
      <c r="C364" s="14" t="s">
        <v>21</v>
      </c>
      <c r="D364" s="15" t="n">
        <v>46179</v>
      </c>
      <c r="E364" s="14" t="n">
        <f aca="false">MONTH(D364)</f>
        <v>6</v>
      </c>
      <c r="F364" s="14" t="s">
        <v>61</v>
      </c>
      <c r="G364" s="14" t="s">
        <v>50</v>
      </c>
      <c r="H364" s="14" t="s">
        <v>62</v>
      </c>
      <c r="I364" s="16" t="n">
        <v>87.2</v>
      </c>
      <c r="J364" s="17" t="n">
        <v>1.1</v>
      </c>
      <c r="K364" s="18" t="n">
        <v>132</v>
      </c>
      <c r="L364" s="18" t="n">
        <v>156.41</v>
      </c>
      <c r="M364" s="18" t="n">
        <f aca="false">IF(J364="","",ROUND(MAX(I364*J364,K364),2))</f>
        <v>132</v>
      </c>
      <c r="N364" s="18" t="n">
        <f aca="false">IF(M364="","",ROUND(L364-M364,2))</f>
        <v>24.41</v>
      </c>
      <c r="O364" s="19" t="n">
        <f aca="false">IF(M364="","",N364/M364)</f>
        <v>0.184924242424242</v>
      </c>
      <c r="P364" s="14" t="str">
        <f aca="false">IF(M364="","SEM TARIFA NO CONTRATO",IF(N364&gt;Resumo!$B$4,"ACIMA DA TABELA",IF(N364&lt;-Resumo!$B$4,"ABAIXO DA TABELA","OK")))</f>
        <v>ACIMA DA TABELA</v>
      </c>
    </row>
    <row r="365" customFormat="false" ht="15" hidden="false" customHeight="false" outlineLevel="0" collapsed="false">
      <c r="A365" s="14" t="s">
        <v>784</v>
      </c>
      <c r="B365" s="14" t="s">
        <v>785</v>
      </c>
      <c r="C365" s="14" t="s">
        <v>24</v>
      </c>
      <c r="D365" s="15" t="n">
        <v>46180</v>
      </c>
      <c r="E365" s="14" t="n">
        <f aca="false">MONTH(D365)</f>
        <v>6</v>
      </c>
      <c r="F365" s="14" t="s">
        <v>61</v>
      </c>
      <c r="G365" s="14" t="s">
        <v>50</v>
      </c>
      <c r="H365" s="14" t="s">
        <v>62</v>
      </c>
      <c r="I365" s="16" t="n">
        <v>1135.6</v>
      </c>
      <c r="J365" s="17" t="n">
        <v>1</v>
      </c>
      <c r="K365" s="18" t="n">
        <v>120</v>
      </c>
      <c r="L365" s="18" t="n">
        <v>1135.94</v>
      </c>
      <c r="M365" s="18" t="n">
        <f aca="false">IF(J365="","",ROUND(MAX(I365*J365,K365),2))</f>
        <v>1135.6</v>
      </c>
      <c r="N365" s="18" t="n">
        <f aca="false">IF(M365="","",ROUND(L365-M365,2))</f>
        <v>0.34</v>
      </c>
      <c r="O365" s="19" t="n">
        <f aca="false">IF(M365="","",N365/M365)</f>
        <v>0.00029940119760479</v>
      </c>
      <c r="P365" s="14" t="str">
        <f aca="false">IF(M365="","SEM TARIFA NO CONTRATO",IF(N365&gt;Resumo!$B$4,"ACIMA DA TABELA",IF(N365&lt;-Resumo!$B$4,"ABAIXO DA TABELA","OK")))</f>
        <v>OK</v>
      </c>
    </row>
    <row r="366" customFormat="false" ht="15" hidden="false" customHeight="false" outlineLevel="0" collapsed="false">
      <c r="A366" s="14" t="s">
        <v>786</v>
      </c>
      <c r="B366" s="14" t="s">
        <v>787</v>
      </c>
      <c r="C366" s="14" t="s">
        <v>21</v>
      </c>
      <c r="D366" s="15" t="n">
        <v>46180</v>
      </c>
      <c r="E366" s="14" t="n">
        <f aca="false">MONTH(D366)</f>
        <v>6</v>
      </c>
      <c r="F366" s="14" t="s">
        <v>118</v>
      </c>
      <c r="G366" s="14" t="s">
        <v>50</v>
      </c>
      <c r="H366" s="14" t="s">
        <v>119</v>
      </c>
      <c r="I366" s="16" t="n">
        <v>2612.6</v>
      </c>
      <c r="J366" s="17" t="n">
        <v>3.6696</v>
      </c>
      <c r="K366" s="18" t="n">
        <v>324.72</v>
      </c>
      <c r="L366" s="18" t="n">
        <v>10698.68</v>
      </c>
      <c r="M366" s="18" t="n">
        <f aca="false">IF(J366="","",ROUND(MAX(I366*J366,K366),2))</f>
        <v>9587.2</v>
      </c>
      <c r="N366" s="18" t="n">
        <f aca="false">IF(M366="","",ROUND(L366-M366,2))</f>
        <v>1111.48</v>
      </c>
      <c r="O366" s="19" t="n">
        <f aca="false">IF(M366="","",N366/M366)</f>
        <v>0.115933744993324</v>
      </c>
      <c r="P366" s="14" t="str">
        <f aca="false">IF(M366="","SEM TARIFA NO CONTRATO",IF(N366&gt;Resumo!$B$4,"ACIMA DA TABELA",IF(N366&lt;-Resumo!$B$4,"ABAIXO DA TABELA","OK")))</f>
        <v>ACIMA DA TABELA</v>
      </c>
    </row>
    <row r="367" customFormat="false" ht="15" hidden="false" customHeight="false" outlineLevel="0" collapsed="false">
      <c r="A367" s="14" t="s">
        <v>788</v>
      </c>
      <c r="B367" s="14" t="s">
        <v>789</v>
      </c>
      <c r="C367" s="14" t="s">
        <v>25</v>
      </c>
      <c r="D367" s="15" t="n">
        <v>46180</v>
      </c>
      <c r="E367" s="14" t="n">
        <f aca="false">MONTH(D367)</f>
        <v>6</v>
      </c>
      <c r="F367" s="14" t="s">
        <v>44</v>
      </c>
      <c r="G367" s="14" t="s">
        <v>45</v>
      </c>
      <c r="H367" s="14" t="s">
        <v>46</v>
      </c>
      <c r="I367" s="16" t="n">
        <v>134.2</v>
      </c>
      <c r="J367" s="17" t="n">
        <v>0.8132</v>
      </c>
      <c r="K367" s="18" t="n">
        <v>103.74</v>
      </c>
      <c r="L367" s="18" t="n">
        <v>108.92</v>
      </c>
      <c r="M367" s="18" t="n">
        <f aca="false">IF(J367="","",ROUND(MAX(I367*J367,K367),2))</f>
        <v>109.13</v>
      </c>
      <c r="N367" s="18" t="n">
        <f aca="false">IF(M367="","",ROUND(L367-M367,2))</f>
        <v>-0.21</v>
      </c>
      <c r="O367" s="19" t="n">
        <f aca="false">IF(M367="","",N367/M367)</f>
        <v>-0.00192431045542014</v>
      </c>
      <c r="P367" s="14" t="str">
        <f aca="false">IF(M367="","SEM TARIFA NO CONTRATO",IF(N367&gt;Resumo!$B$4,"ACIMA DA TABELA",IF(N367&lt;-Resumo!$B$4,"ABAIXO DA TABELA","OK")))</f>
        <v>OK</v>
      </c>
    </row>
    <row r="368" customFormat="false" ht="15" hidden="false" customHeight="false" outlineLevel="0" collapsed="false">
      <c r="A368" s="14" t="s">
        <v>790</v>
      </c>
      <c r="B368" s="14" t="s">
        <v>791</v>
      </c>
      <c r="C368" s="14" t="s">
        <v>21</v>
      </c>
      <c r="D368" s="15" t="n">
        <v>46180</v>
      </c>
      <c r="E368" s="14" t="n">
        <f aca="false">MONTH(D368)</f>
        <v>6</v>
      </c>
      <c r="F368" s="14" t="s">
        <v>56</v>
      </c>
      <c r="G368" s="14" t="s">
        <v>50</v>
      </c>
      <c r="H368" s="14" t="s">
        <v>45</v>
      </c>
      <c r="I368" s="16" t="n">
        <v>98.8</v>
      </c>
      <c r="J368" s="17"/>
      <c r="K368" s="18"/>
      <c r="L368" s="18" t="n">
        <v>120</v>
      </c>
      <c r="M368" s="18" t="str">
        <f aca="false">IF(J368="","",ROUND(MAX(I368*J368,K368),2))</f>
        <v/>
      </c>
      <c r="N368" s="18" t="str">
        <f aca="false">IF(M368="","",ROUND(L368-M368,2))</f>
        <v/>
      </c>
      <c r="O368" s="19" t="str">
        <f aca="false">IF(M368="","",N368/M368)</f>
        <v/>
      </c>
      <c r="P368" s="14" t="str">
        <f aca="false">IF(M368="","SEM TARIFA NO CONTRATO",IF(N368&gt;Resumo!$B$4,"ACIMA DA TABELA",IF(N368&lt;-Resumo!$B$4,"ABAIXO DA TABELA","OK")))</f>
        <v>SEM TARIFA NO CONTRATO</v>
      </c>
    </row>
    <row r="369" customFormat="false" ht="15" hidden="false" customHeight="false" outlineLevel="0" collapsed="false">
      <c r="A369" s="14" t="s">
        <v>792</v>
      </c>
      <c r="B369" s="14" t="s">
        <v>793</v>
      </c>
      <c r="C369" s="14" t="s">
        <v>24</v>
      </c>
      <c r="D369" s="15" t="n">
        <v>46181</v>
      </c>
      <c r="E369" s="14" t="n">
        <f aca="false">MONTH(D369)</f>
        <v>6</v>
      </c>
      <c r="F369" s="14" t="s">
        <v>79</v>
      </c>
      <c r="G369" s="14" t="s">
        <v>50</v>
      </c>
      <c r="H369" s="14" t="s">
        <v>46</v>
      </c>
      <c r="I369" s="16" t="n">
        <v>258.1</v>
      </c>
      <c r="J369" s="17" t="n">
        <v>0.36</v>
      </c>
      <c r="K369" s="18" t="n">
        <v>72</v>
      </c>
      <c r="L369" s="18" t="n">
        <v>93.13</v>
      </c>
      <c r="M369" s="18" t="n">
        <f aca="false">IF(J369="","",ROUND(MAX(I369*J369,K369),2))</f>
        <v>92.92</v>
      </c>
      <c r="N369" s="18" t="n">
        <f aca="false">IF(M369="","",ROUND(L369-M369,2))</f>
        <v>0.21</v>
      </c>
      <c r="O369" s="19" t="n">
        <f aca="false">IF(M369="","",N369/M369)</f>
        <v>0.00226000860955661</v>
      </c>
      <c r="P369" s="14" t="str">
        <f aca="false">IF(M369="","SEM TARIFA NO CONTRATO",IF(N369&gt;Resumo!$B$4,"ACIMA DA TABELA",IF(N369&lt;-Resumo!$B$4,"ABAIXO DA TABELA","OK")))</f>
        <v>OK</v>
      </c>
    </row>
    <row r="370" customFormat="false" ht="15" hidden="false" customHeight="false" outlineLevel="0" collapsed="false">
      <c r="A370" s="14" t="s">
        <v>794</v>
      </c>
      <c r="B370" s="14" t="s">
        <v>795</v>
      </c>
      <c r="C370" s="14" t="s">
        <v>23</v>
      </c>
      <c r="D370" s="15" t="n">
        <v>46181</v>
      </c>
      <c r="E370" s="14" t="n">
        <f aca="false">MONTH(D370)</f>
        <v>6</v>
      </c>
      <c r="F370" s="14" t="s">
        <v>49</v>
      </c>
      <c r="G370" s="14" t="s">
        <v>50</v>
      </c>
      <c r="H370" s="14" t="s">
        <v>51</v>
      </c>
      <c r="I370" s="16" t="n">
        <v>88.2</v>
      </c>
      <c r="J370" s="17" t="n">
        <v>4.0848</v>
      </c>
      <c r="K370" s="18" t="n">
        <v>347.76</v>
      </c>
      <c r="L370" s="18" t="n">
        <v>359.9</v>
      </c>
      <c r="M370" s="18" t="n">
        <f aca="false">IF(J370="","",ROUND(MAX(I370*J370,K370),2))</f>
        <v>360.28</v>
      </c>
      <c r="N370" s="18" t="n">
        <f aca="false">IF(M370="","",ROUND(L370-M370,2))</f>
        <v>-0.38</v>
      </c>
      <c r="O370" s="19" t="n">
        <f aca="false">IF(M370="","",N370/M370)</f>
        <v>-0.00105473520595093</v>
      </c>
      <c r="P370" s="14" t="str">
        <f aca="false">IF(M370="","SEM TARIFA NO CONTRATO",IF(N370&gt;Resumo!$B$4,"ACIMA DA TABELA",IF(N370&lt;-Resumo!$B$4,"ABAIXO DA TABELA","OK")))</f>
        <v>OK</v>
      </c>
    </row>
    <row r="371" customFormat="false" ht="15" hidden="false" customHeight="false" outlineLevel="0" collapsed="false">
      <c r="A371" s="14" t="s">
        <v>796</v>
      </c>
      <c r="B371" s="14" t="s">
        <v>797</v>
      </c>
      <c r="C371" s="14" t="s">
        <v>25</v>
      </c>
      <c r="D371" s="15" t="n">
        <v>46181</v>
      </c>
      <c r="E371" s="14" t="n">
        <f aca="false">MONTH(D371)</f>
        <v>6</v>
      </c>
      <c r="F371" s="14" t="s">
        <v>44</v>
      </c>
      <c r="G371" s="14" t="s">
        <v>45</v>
      </c>
      <c r="H371" s="14" t="s">
        <v>46</v>
      </c>
      <c r="I371" s="16" t="n">
        <v>1665.8</v>
      </c>
      <c r="J371" s="17" t="n">
        <v>0.8132</v>
      </c>
      <c r="K371" s="18" t="n">
        <v>103.74</v>
      </c>
      <c r="L371" s="18" t="n">
        <v>1354.41</v>
      </c>
      <c r="M371" s="18" t="n">
        <f aca="false">IF(J371="","",ROUND(MAX(I371*J371,K371),2))</f>
        <v>1354.63</v>
      </c>
      <c r="N371" s="18" t="n">
        <f aca="false">IF(M371="","",ROUND(L371-M371,2))</f>
        <v>-0.22</v>
      </c>
      <c r="O371" s="19" t="n">
        <f aca="false">IF(M371="","",N371/M371)</f>
        <v>-0.000162405970634048</v>
      </c>
      <c r="P371" s="14" t="str">
        <f aca="false">IF(M371="","SEM TARIFA NO CONTRATO",IF(N371&gt;Resumo!$B$4,"ACIMA DA TABELA",IF(N371&lt;-Resumo!$B$4,"ABAIXO DA TABELA","OK")))</f>
        <v>OK</v>
      </c>
    </row>
    <row r="372" customFormat="false" ht="15" hidden="false" customHeight="false" outlineLevel="0" collapsed="false">
      <c r="A372" s="14" t="s">
        <v>798</v>
      </c>
      <c r="B372" s="14" t="s">
        <v>799</v>
      </c>
      <c r="C372" s="14" t="s">
        <v>23</v>
      </c>
      <c r="D372" s="15" t="n">
        <v>46182</v>
      </c>
      <c r="E372" s="14" t="n">
        <f aca="false">MONTH(D372)</f>
        <v>6</v>
      </c>
      <c r="F372" s="14" t="s">
        <v>88</v>
      </c>
      <c r="G372" s="14" t="s">
        <v>50</v>
      </c>
      <c r="H372" s="14" t="s">
        <v>89</v>
      </c>
      <c r="I372" s="16" t="n">
        <v>286.4</v>
      </c>
      <c r="J372" s="17" t="n">
        <v>1.553</v>
      </c>
      <c r="K372" s="18" t="n">
        <v>157.87</v>
      </c>
      <c r="L372" s="18" t="n">
        <v>444.55</v>
      </c>
      <c r="M372" s="18" t="n">
        <f aca="false">IF(J372="","",ROUND(MAX(I372*J372,K372),2))</f>
        <v>444.78</v>
      </c>
      <c r="N372" s="18" t="n">
        <f aca="false">IF(M372="","",ROUND(L372-M372,2))</f>
        <v>-0.23</v>
      </c>
      <c r="O372" s="19" t="n">
        <f aca="false">IF(M372="","",N372/M372)</f>
        <v>-0.00051710958226539</v>
      </c>
      <c r="P372" s="14" t="str">
        <f aca="false">IF(M372="","SEM TARIFA NO CONTRATO",IF(N372&gt;Resumo!$B$4,"ACIMA DA TABELA",IF(N372&lt;-Resumo!$B$4,"ABAIXO DA TABELA","OK")))</f>
        <v>OK</v>
      </c>
    </row>
    <row r="373" customFormat="false" ht="15" hidden="false" customHeight="false" outlineLevel="0" collapsed="false">
      <c r="A373" s="14" t="s">
        <v>800</v>
      </c>
      <c r="B373" s="14" t="s">
        <v>801</v>
      </c>
      <c r="C373" s="14" t="s">
        <v>22</v>
      </c>
      <c r="D373" s="15" t="n">
        <v>46182</v>
      </c>
      <c r="E373" s="14" t="n">
        <f aca="false">MONTH(D373)</f>
        <v>6</v>
      </c>
      <c r="F373" s="14" t="s">
        <v>67</v>
      </c>
      <c r="G373" s="14" t="s">
        <v>50</v>
      </c>
      <c r="H373" s="14" t="s">
        <v>68</v>
      </c>
      <c r="I373" s="16" t="n">
        <v>160.3</v>
      </c>
      <c r="J373" s="17" t="n">
        <v>2.058</v>
      </c>
      <c r="K373" s="18" t="n">
        <v>201.6</v>
      </c>
      <c r="L373" s="18" t="n">
        <v>329.91</v>
      </c>
      <c r="M373" s="18" t="n">
        <f aca="false">IF(J373="","",ROUND(MAX(I373*J373,K373),2))</f>
        <v>329.9</v>
      </c>
      <c r="N373" s="18" t="n">
        <f aca="false">IF(M373="","",ROUND(L373-M373,2))</f>
        <v>0.01</v>
      </c>
      <c r="O373" s="19" t="n">
        <f aca="false">IF(M373="","",N373/M373)</f>
        <v>3.03122158229767E-005</v>
      </c>
      <c r="P373" s="14" t="str">
        <f aca="false">IF(M373="","SEM TARIFA NO CONTRATO",IF(N373&gt;Resumo!$B$4,"ACIMA DA TABELA",IF(N373&lt;-Resumo!$B$4,"ABAIXO DA TABELA","OK")))</f>
        <v>OK</v>
      </c>
    </row>
    <row r="374" customFormat="false" ht="15" hidden="false" customHeight="false" outlineLevel="0" collapsed="false">
      <c r="A374" s="14" t="s">
        <v>802</v>
      </c>
      <c r="B374" s="14" t="s">
        <v>803</v>
      </c>
      <c r="C374" s="14" t="s">
        <v>24</v>
      </c>
      <c r="D374" s="15" t="n">
        <v>46183</v>
      </c>
      <c r="E374" s="14" t="n">
        <f aca="false">MONTH(D374)</f>
        <v>6</v>
      </c>
      <c r="F374" s="14" t="s">
        <v>73</v>
      </c>
      <c r="G374" s="14" t="s">
        <v>50</v>
      </c>
      <c r="H374" s="14" t="s">
        <v>74</v>
      </c>
      <c r="I374" s="16" t="n">
        <v>278.8</v>
      </c>
      <c r="J374" s="17" t="n">
        <v>1.144</v>
      </c>
      <c r="K374" s="18" t="n">
        <v>130.8</v>
      </c>
      <c r="L374" s="18" t="n">
        <v>319.34</v>
      </c>
      <c r="M374" s="18" t="n">
        <f aca="false">IF(J374="","",ROUND(MAX(I374*J374,K374),2))</f>
        <v>318.95</v>
      </c>
      <c r="N374" s="18" t="n">
        <f aca="false">IF(M374="","",ROUND(L374-M374,2))</f>
        <v>0.39</v>
      </c>
      <c r="O374" s="19" t="n">
        <f aca="false">IF(M374="","",N374/M374)</f>
        <v>0.00122276218843079</v>
      </c>
      <c r="P374" s="14" t="str">
        <f aca="false">IF(M374="","SEM TARIFA NO CONTRATO",IF(N374&gt;Resumo!$B$4,"ACIMA DA TABELA",IF(N374&lt;-Resumo!$B$4,"ABAIXO DA TABELA","OK")))</f>
        <v>OK</v>
      </c>
    </row>
    <row r="375" customFormat="false" ht="15" hidden="false" customHeight="false" outlineLevel="0" collapsed="false">
      <c r="A375" s="14" t="s">
        <v>804</v>
      </c>
      <c r="B375" s="14" t="s">
        <v>805</v>
      </c>
      <c r="C375" s="14" t="s">
        <v>22</v>
      </c>
      <c r="D375" s="15" t="n">
        <v>46183</v>
      </c>
      <c r="E375" s="14" t="n">
        <f aca="false">MONTH(D375)</f>
        <v>6</v>
      </c>
      <c r="F375" s="14" t="s">
        <v>67</v>
      </c>
      <c r="G375" s="14" t="s">
        <v>50</v>
      </c>
      <c r="H375" s="14" t="s">
        <v>68</v>
      </c>
      <c r="I375" s="16" t="n">
        <v>636.6</v>
      </c>
      <c r="J375" s="17" t="n">
        <v>2.058</v>
      </c>
      <c r="K375" s="18" t="n">
        <v>201.6</v>
      </c>
      <c r="L375" s="18" t="n">
        <v>1310.22</v>
      </c>
      <c r="M375" s="18" t="n">
        <f aca="false">IF(J375="","",ROUND(MAX(I375*J375,K375),2))</f>
        <v>1310.12</v>
      </c>
      <c r="N375" s="18" t="n">
        <f aca="false">IF(M375="","",ROUND(L375-M375,2))</f>
        <v>0.1</v>
      </c>
      <c r="O375" s="19" t="n">
        <f aca="false">IF(M375="","",N375/M375)</f>
        <v>7.63288859035814E-005</v>
      </c>
      <c r="P375" s="14" t="str">
        <f aca="false">IF(M375="","SEM TARIFA NO CONTRATO",IF(N375&gt;Resumo!$B$4,"ACIMA DA TABELA",IF(N375&lt;-Resumo!$B$4,"ABAIXO DA TABELA","OK")))</f>
        <v>OK</v>
      </c>
    </row>
    <row r="376" customFormat="false" ht="15" hidden="false" customHeight="false" outlineLevel="0" collapsed="false">
      <c r="A376" s="14" t="s">
        <v>806</v>
      </c>
      <c r="B376" s="14" t="s">
        <v>807</v>
      </c>
      <c r="C376" s="14" t="s">
        <v>21</v>
      </c>
      <c r="D376" s="15" t="n">
        <v>46183</v>
      </c>
      <c r="E376" s="14" t="n">
        <f aca="false">MONTH(D376)</f>
        <v>6</v>
      </c>
      <c r="F376" s="14" t="s">
        <v>118</v>
      </c>
      <c r="G376" s="14" t="s">
        <v>50</v>
      </c>
      <c r="H376" s="14" t="s">
        <v>119</v>
      </c>
      <c r="I376" s="16" t="n">
        <v>40</v>
      </c>
      <c r="J376" s="17" t="n">
        <v>3.6696</v>
      </c>
      <c r="K376" s="18" t="n">
        <v>324.72</v>
      </c>
      <c r="L376" s="18" t="n">
        <v>324.78</v>
      </c>
      <c r="M376" s="18" t="n">
        <f aca="false">IF(J376="","",ROUND(MAX(I376*J376,K376),2))</f>
        <v>324.72</v>
      </c>
      <c r="N376" s="18" t="n">
        <f aca="false">IF(M376="","",ROUND(L376-M376,2))</f>
        <v>0.06</v>
      </c>
      <c r="O376" s="19" t="n">
        <f aca="false">IF(M376="","",N376/M376)</f>
        <v>0.000184774575018477</v>
      </c>
      <c r="P376" s="14" t="str">
        <f aca="false">IF(M376="","SEM TARIFA NO CONTRATO",IF(N376&gt;Resumo!$B$4,"ACIMA DA TABELA",IF(N376&lt;-Resumo!$B$4,"ABAIXO DA TABELA","OK")))</f>
        <v>OK</v>
      </c>
    </row>
    <row r="377" customFormat="false" ht="15" hidden="false" customHeight="false" outlineLevel="0" collapsed="false">
      <c r="A377" s="14" t="s">
        <v>808</v>
      </c>
      <c r="B377" s="14" t="s">
        <v>809</v>
      </c>
      <c r="C377" s="14" t="s">
        <v>22</v>
      </c>
      <c r="D377" s="15" t="n">
        <v>46184</v>
      </c>
      <c r="E377" s="14" t="n">
        <f aca="false">MONTH(D377)</f>
        <v>6</v>
      </c>
      <c r="F377" s="14" t="s">
        <v>118</v>
      </c>
      <c r="G377" s="14" t="s">
        <v>50</v>
      </c>
      <c r="H377" s="14" t="s">
        <v>119</v>
      </c>
      <c r="I377" s="16" t="n">
        <v>152.7</v>
      </c>
      <c r="J377" s="17" t="n">
        <v>3.5028</v>
      </c>
      <c r="K377" s="18" t="n">
        <v>309.96</v>
      </c>
      <c r="L377" s="18" t="n">
        <v>591.56</v>
      </c>
      <c r="M377" s="18" t="n">
        <f aca="false">IF(J377="","",ROUND(MAX(I377*J377,K377),2))</f>
        <v>534.88</v>
      </c>
      <c r="N377" s="18" t="n">
        <f aca="false">IF(M377="","",ROUND(L377-M377,2))</f>
        <v>56.68</v>
      </c>
      <c r="O377" s="19" t="n">
        <f aca="false">IF(M377="","",N377/M377)</f>
        <v>0.105967693688304</v>
      </c>
      <c r="P377" s="14" t="str">
        <f aca="false">IF(M377="","SEM TARIFA NO CONTRATO",IF(N377&gt;Resumo!$B$4,"ACIMA DA TABELA",IF(N377&lt;-Resumo!$B$4,"ABAIXO DA TABELA","OK")))</f>
        <v>ACIMA DA TABELA</v>
      </c>
    </row>
    <row r="378" customFormat="false" ht="15" hidden="false" customHeight="false" outlineLevel="0" collapsed="false">
      <c r="A378" s="14" t="s">
        <v>810</v>
      </c>
      <c r="B378" s="14" t="s">
        <v>811</v>
      </c>
      <c r="C378" s="14" t="s">
        <v>21</v>
      </c>
      <c r="D378" s="15" t="n">
        <v>46184</v>
      </c>
      <c r="E378" s="14" t="n">
        <f aca="false">MONTH(D378)</f>
        <v>6</v>
      </c>
      <c r="F378" s="14" t="s">
        <v>49</v>
      </c>
      <c r="G378" s="14" t="s">
        <v>50</v>
      </c>
      <c r="H378" s="14" t="s">
        <v>51</v>
      </c>
      <c r="I378" s="16" t="n">
        <v>924.6</v>
      </c>
      <c r="J378" s="17" t="n">
        <v>4.884</v>
      </c>
      <c r="K378" s="18" t="n">
        <v>415.8</v>
      </c>
      <c r="L378" s="18" t="n">
        <v>4515.8</v>
      </c>
      <c r="M378" s="18" t="n">
        <f aca="false">IF(J378="","",ROUND(MAX(I378*J378,K378),2))</f>
        <v>4515.75</v>
      </c>
      <c r="N378" s="18" t="n">
        <f aca="false">IF(M378="","",ROUND(L378-M378,2))</f>
        <v>0.05</v>
      </c>
      <c r="O378" s="19" t="n">
        <f aca="false">IF(M378="","",N378/M378)</f>
        <v>1.1072357858606E-005</v>
      </c>
      <c r="P378" s="14" t="str">
        <f aca="false">IF(M378="","SEM TARIFA NO CONTRATO",IF(N378&gt;Resumo!$B$4,"ACIMA DA TABELA",IF(N378&lt;-Resumo!$B$4,"ABAIXO DA TABELA","OK")))</f>
        <v>OK</v>
      </c>
    </row>
    <row r="379" customFormat="false" ht="15" hidden="false" customHeight="false" outlineLevel="0" collapsed="false">
      <c r="A379" s="14" t="s">
        <v>812</v>
      </c>
      <c r="B379" s="14" t="s">
        <v>813</v>
      </c>
      <c r="C379" s="14" t="s">
        <v>21</v>
      </c>
      <c r="D379" s="15" t="n">
        <v>46184</v>
      </c>
      <c r="E379" s="14" t="n">
        <f aca="false">MONTH(D379)</f>
        <v>6</v>
      </c>
      <c r="F379" s="14" t="s">
        <v>67</v>
      </c>
      <c r="G379" s="14" t="s">
        <v>50</v>
      </c>
      <c r="H379" s="14" t="s">
        <v>68</v>
      </c>
      <c r="I379" s="16" t="n">
        <v>1219.3</v>
      </c>
      <c r="J379" s="17" t="n">
        <v>2.156</v>
      </c>
      <c r="K379" s="18" t="n">
        <v>211.2</v>
      </c>
      <c r="L379" s="18" t="n">
        <v>2628.92</v>
      </c>
      <c r="M379" s="18" t="n">
        <f aca="false">IF(J379="","",ROUND(MAX(I379*J379,K379),2))</f>
        <v>2628.81</v>
      </c>
      <c r="N379" s="18" t="n">
        <f aca="false">IF(M379="","",ROUND(L379-M379,2))</f>
        <v>0.11</v>
      </c>
      <c r="O379" s="19" t="n">
        <f aca="false">IF(M379="","",N379/M379)</f>
        <v>4.18440282865631E-005</v>
      </c>
      <c r="P379" s="14" t="str">
        <f aca="false">IF(M379="","SEM TARIFA NO CONTRATO",IF(N379&gt;Resumo!$B$4,"ACIMA DA TABELA",IF(N379&lt;-Resumo!$B$4,"ABAIXO DA TABELA","OK")))</f>
        <v>OK</v>
      </c>
    </row>
    <row r="380" customFormat="false" ht="15" hidden="false" customHeight="false" outlineLevel="0" collapsed="false">
      <c r="A380" s="14" t="s">
        <v>814</v>
      </c>
      <c r="B380" s="14" t="s">
        <v>793</v>
      </c>
      <c r="C380" s="14" t="s">
        <v>24</v>
      </c>
      <c r="D380" s="15" t="n">
        <v>46186</v>
      </c>
      <c r="E380" s="14" t="n">
        <f aca="false">MONTH(D380)</f>
        <v>6</v>
      </c>
      <c r="F380" s="14" t="s">
        <v>79</v>
      </c>
      <c r="G380" s="14" t="s">
        <v>50</v>
      </c>
      <c r="H380" s="14" t="s">
        <v>46</v>
      </c>
      <c r="I380" s="16" t="n">
        <v>258.1</v>
      </c>
      <c r="J380" s="17" t="n">
        <v>0.36</v>
      </c>
      <c r="K380" s="18" t="n">
        <v>72</v>
      </c>
      <c r="L380" s="18" t="n">
        <v>93.13</v>
      </c>
      <c r="M380" s="18" t="n">
        <f aca="false">IF(J380="","",ROUND(MAX(I380*J380,K380),2))</f>
        <v>92.92</v>
      </c>
      <c r="N380" s="18" t="n">
        <f aca="false">IF(M380="","",ROUND(L380-M380,2))</f>
        <v>0.21</v>
      </c>
      <c r="O380" s="19" t="n">
        <f aca="false">IF(M380="","",N380/M380)</f>
        <v>0.00226000860955661</v>
      </c>
      <c r="P380" s="14" t="str">
        <f aca="false">IF(M380="","SEM TARIFA NO CONTRATO",IF(N380&gt;Resumo!$B$4,"ACIMA DA TABELA",IF(N380&lt;-Resumo!$B$4,"ABAIXO DA TABELA","OK")))</f>
        <v>OK</v>
      </c>
    </row>
    <row r="381" customFormat="false" ht="15" hidden="false" customHeight="false" outlineLevel="0" collapsed="false">
      <c r="A381" s="14" t="s">
        <v>815</v>
      </c>
      <c r="B381" s="14" t="s">
        <v>816</v>
      </c>
      <c r="C381" s="14" t="s">
        <v>23</v>
      </c>
      <c r="D381" s="15" t="n">
        <v>46186</v>
      </c>
      <c r="E381" s="14" t="n">
        <f aca="false">MONTH(D381)</f>
        <v>6</v>
      </c>
      <c r="F381" s="14" t="s">
        <v>88</v>
      </c>
      <c r="G381" s="14" t="s">
        <v>50</v>
      </c>
      <c r="H381" s="14" t="s">
        <v>89</v>
      </c>
      <c r="I381" s="16" t="n">
        <v>833.7</v>
      </c>
      <c r="J381" s="17" t="n">
        <v>1.553</v>
      </c>
      <c r="K381" s="18" t="n">
        <v>157.87</v>
      </c>
      <c r="L381" s="18" t="n">
        <v>1294.99</v>
      </c>
      <c r="M381" s="18" t="n">
        <f aca="false">IF(J381="","",ROUND(MAX(I381*J381,K381),2))</f>
        <v>1294.74</v>
      </c>
      <c r="N381" s="18" t="n">
        <f aca="false">IF(M381="","",ROUND(L381-M381,2))</f>
        <v>0.25</v>
      </c>
      <c r="O381" s="19" t="n">
        <f aca="false">IF(M381="","",N381/M381)</f>
        <v>0.000193088959945626</v>
      </c>
      <c r="P381" s="14" t="str">
        <f aca="false">IF(M381="","SEM TARIFA NO CONTRATO",IF(N381&gt;Resumo!$B$4,"ACIMA DA TABELA",IF(N381&lt;-Resumo!$B$4,"ABAIXO DA TABELA","OK")))</f>
        <v>OK</v>
      </c>
    </row>
    <row r="382" customFormat="false" ht="15" hidden="false" customHeight="false" outlineLevel="0" collapsed="false">
      <c r="A382" s="14" t="s">
        <v>817</v>
      </c>
      <c r="B382" s="14" t="s">
        <v>818</v>
      </c>
      <c r="C382" s="14" t="s">
        <v>22</v>
      </c>
      <c r="D382" s="15" t="n">
        <v>46186</v>
      </c>
      <c r="E382" s="14" t="n">
        <f aca="false">MONTH(D382)</f>
        <v>6</v>
      </c>
      <c r="F382" s="14" t="s">
        <v>118</v>
      </c>
      <c r="G382" s="14" t="s">
        <v>50</v>
      </c>
      <c r="H382" s="14" t="s">
        <v>119</v>
      </c>
      <c r="I382" s="16" t="n">
        <v>375.4</v>
      </c>
      <c r="J382" s="17" t="n">
        <v>3.5028</v>
      </c>
      <c r="K382" s="18" t="n">
        <v>309.96</v>
      </c>
      <c r="L382" s="18" t="n">
        <v>1315.19</v>
      </c>
      <c r="M382" s="18" t="n">
        <f aca="false">IF(J382="","",ROUND(MAX(I382*J382,K382),2))</f>
        <v>1314.95</v>
      </c>
      <c r="N382" s="18" t="n">
        <f aca="false">IF(M382="","",ROUND(L382-M382,2))</f>
        <v>0.24</v>
      </c>
      <c r="O382" s="19" t="n">
        <f aca="false">IF(M382="","",N382/M382)</f>
        <v>0.000182516445492224</v>
      </c>
      <c r="P382" s="14" t="str">
        <f aca="false">IF(M382="","SEM TARIFA NO CONTRATO",IF(N382&gt;Resumo!$B$4,"ACIMA DA TABELA",IF(N382&lt;-Resumo!$B$4,"ABAIXO DA TABELA","OK")))</f>
        <v>OK</v>
      </c>
    </row>
    <row r="383" customFormat="false" ht="15" hidden="false" customHeight="false" outlineLevel="0" collapsed="false">
      <c r="A383" s="14" t="s">
        <v>819</v>
      </c>
      <c r="B383" s="14" t="s">
        <v>820</v>
      </c>
      <c r="C383" s="14" t="s">
        <v>22</v>
      </c>
      <c r="D383" s="15" t="n">
        <v>46186</v>
      </c>
      <c r="E383" s="14" t="n">
        <f aca="false">MONTH(D383)</f>
        <v>6</v>
      </c>
      <c r="F383" s="14" t="s">
        <v>118</v>
      </c>
      <c r="G383" s="14" t="s">
        <v>50</v>
      </c>
      <c r="H383" s="14" t="s">
        <v>119</v>
      </c>
      <c r="I383" s="16" t="n">
        <v>1341.2</v>
      </c>
      <c r="J383" s="17" t="n">
        <v>3.5028</v>
      </c>
      <c r="K383" s="18" t="n">
        <v>309.96</v>
      </c>
      <c r="L383" s="18" t="n">
        <v>4698.08</v>
      </c>
      <c r="M383" s="18" t="n">
        <f aca="false">IF(J383="","",ROUND(MAX(I383*J383,K383),2))</f>
        <v>4697.96</v>
      </c>
      <c r="N383" s="18" t="n">
        <f aca="false">IF(M383="","",ROUND(L383-M383,2))</f>
        <v>0.12</v>
      </c>
      <c r="O383" s="19" t="n">
        <f aca="false">IF(M383="","",N383/M383)</f>
        <v>2.55430016432664E-005</v>
      </c>
      <c r="P383" s="14" t="str">
        <f aca="false">IF(M383="","SEM TARIFA NO CONTRATO",IF(N383&gt;Resumo!$B$4,"ACIMA DA TABELA",IF(N383&lt;-Resumo!$B$4,"ABAIXO DA TABELA","OK")))</f>
        <v>OK</v>
      </c>
    </row>
    <row r="384" customFormat="false" ht="15" hidden="false" customHeight="false" outlineLevel="0" collapsed="false">
      <c r="A384" s="14" t="s">
        <v>821</v>
      </c>
      <c r="B384" s="14" t="s">
        <v>818</v>
      </c>
      <c r="C384" s="14" t="s">
        <v>22</v>
      </c>
      <c r="D384" s="15" t="n">
        <v>46187</v>
      </c>
      <c r="E384" s="14" t="n">
        <f aca="false">MONTH(D384)</f>
        <v>6</v>
      </c>
      <c r="F384" s="14" t="s">
        <v>118</v>
      </c>
      <c r="G384" s="14" t="s">
        <v>50</v>
      </c>
      <c r="H384" s="14" t="s">
        <v>119</v>
      </c>
      <c r="I384" s="16" t="n">
        <v>375.4</v>
      </c>
      <c r="J384" s="17" t="n">
        <v>3.5028</v>
      </c>
      <c r="K384" s="18" t="n">
        <v>309.96</v>
      </c>
      <c r="L384" s="18" t="n">
        <v>1315.19</v>
      </c>
      <c r="M384" s="18" t="n">
        <f aca="false">IF(J384="","",ROUND(MAX(I384*J384,K384),2))</f>
        <v>1314.95</v>
      </c>
      <c r="N384" s="18" t="n">
        <f aca="false">IF(M384="","",ROUND(L384-M384,2))</f>
        <v>0.24</v>
      </c>
      <c r="O384" s="19" t="n">
        <f aca="false">IF(M384="","",N384/M384)</f>
        <v>0.000182516445492224</v>
      </c>
      <c r="P384" s="14" t="str">
        <f aca="false">IF(M384="","SEM TARIFA NO CONTRATO",IF(N384&gt;Resumo!$B$4,"ACIMA DA TABELA",IF(N384&lt;-Resumo!$B$4,"ABAIXO DA TABELA","OK")))</f>
        <v>OK</v>
      </c>
    </row>
    <row r="385" customFormat="false" ht="15" hidden="false" customHeight="false" outlineLevel="0" collapsed="false">
      <c r="A385" s="14" t="s">
        <v>822</v>
      </c>
      <c r="B385" s="14" t="s">
        <v>823</v>
      </c>
      <c r="C385" s="14" t="s">
        <v>25</v>
      </c>
      <c r="D385" s="15" t="n">
        <v>46187</v>
      </c>
      <c r="E385" s="14" t="n">
        <f aca="false">MONTH(D385)</f>
        <v>6</v>
      </c>
      <c r="F385" s="14" t="s">
        <v>88</v>
      </c>
      <c r="G385" s="14" t="s">
        <v>50</v>
      </c>
      <c r="H385" s="14" t="s">
        <v>89</v>
      </c>
      <c r="I385" s="16" t="n">
        <v>447.2</v>
      </c>
      <c r="J385" s="17" t="n">
        <v>1.6036</v>
      </c>
      <c r="K385" s="18" t="n">
        <v>163.02</v>
      </c>
      <c r="L385" s="18" t="n">
        <v>716.9</v>
      </c>
      <c r="M385" s="18" t="n">
        <f aca="false">IF(J385="","",ROUND(MAX(I385*J385,K385),2))</f>
        <v>717.13</v>
      </c>
      <c r="N385" s="18" t="n">
        <f aca="false">IF(M385="","",ROUND(L385-M385,2))</f>
        <v>-0.23</v>
      </c>
      <c r="O385" s="19" t="n">
        <f aca="false">IF(M385="","",N385/M385)</f>
        <v>-0.000320722881485923</v>
      </c>
      <c r="P385" s="14" t="str">
        <f aca="false">IF(M385="","SEM TARIFA NO CONTRATO",IF(N385&gt;Resumo!$B$4,"ACIMA DA TABELA",IF(N385&lt;-Resumo!$B$4,"ABAIXO DA TABELA","OK")))</f>
        <v>OK</v>
      </c>
    </row>
    <row r="386" customFormat="false" ht="15" hidden="false" customHeight="false" outlineLevel="0" collapsed="false">
      <c r="A386" s="14" t="s">
        <v>824</v>
      </c>
      <c r="B386" s="14" t="s">
        <v>825</v>
      </c>
      <c r="C386" s="14" t="s">
        <v>24</v>
      </c>
      <c r="D386" s="15" t="n">
        <v>46187</v>
      </c>
      <c r="E386" s="14" t="n">
        <f aca="false">MONTH(D386)</f>
        <v>6</v>
      </c>
      <c r="F386" s="14" t="s">
        <v>73</v>
      </c>
      <c r="G386" s="14" t="s">
        <v>50</v>
      </c>
      <c r="H386" s="14" t="s">
        <v>74</v>
      </c>
      <c r="I386" s="16" t="n">
        <v>346.5</v>
      </c>
      <c r="J386" s="17" t="n">
        <v>1.144</v>
      </c>
      <c r="K386" s="18" t="n">
        <v>130.8</v>
      </c>
      <c r="L386" s="18" t="n">
        <v>396.61</v>
      </c>
      <c r="M386" s="18" t="n">
        <f aca="false">IF(J386="","",ROUND(MAX(I386*J386,K386),2))</f>
        <v>396.4</v>
      </c>
      <c r="N386" s="18" t="n">
        <f aca="false">IF(M386="","",ROUND(L386-M386,2))</f>
        <v>0.21</v>
      </c>
      <c r="O386" s="19" t="n">
        <f aca="false">IF(M386="","",N386/M386)</f>
        <v>0.000529767911200807</v>
      </c>
      <c r="P386" s="14" t="str">
        <f aca="false">IF(M386="","SEM TARIFA NO CONTRATO",IF(N386&gt;Resumo!$B$4,"ACIMA DA TABELA",IF(N386&lt;-Resumo!$B$4,"ABAIXO DA TABELA","OK")))</f>
        <v>OK</v>
      </c>
    </row>
    <row r="387" customFormat="false" ht="15" hidden="false" customHeight="false" outlineLevel="0" collapsed="false">
      <c r="A387" s="14" t="s">
        <v>826</v>
      </c>
      <c r="B387" s="14" t="s">
        <v>807</v>
      </c>
      <c r="C387" s="14" t="s">
        <v>21</v>
      </c>
      <c r="D387" s="15" t="n">
        <v>46188</v>
      </c>
      <c r="E387" s="14" t="n">
        <f aca="false">MONTH(D387)</f>
        <v>6</v>
      </c>
      <c r="F387" s="14" t="s">
        <v>118</v>
      </c>
      <c r="G387" s="14" t="s">
        <v>50</v>
      </c>
      <c r="H387" s="14" t="s">
        <v>119</v>
      </c>
      <c r="I387" s="16" t="n">
        <v>40</v>
      </c>
      <c r="J387" s="17" t="n">
        <v>3.6696</v>
      </c>
      <c r="K387" s="18" t="n">
        <v>324.72</v>
      </c>
      <c r="L387" s="18" t="n">
        <v>324.78</v>
      </c>
      <c r="M387" s="18" t="n">
        <f aca="false">IF(J387="","",ROUND(MAX(I387*J387,K387),2))</f>
        <v>324.72</v>
      </c>
      <c r="N387" s="18" t="n">
        <f aca="false">IF(M387="","",ROUND(L387-M387,2))</f>
        <v>0.06</v>
      </c>
      <c r="O387" s="19" t="n">
        <f aca="false">IF(M387="","",N387/M387)</f>
        <v>0.000184774575018477</v>
      </c>
      <c r="P387" s="14" t="str">
        <f aca="false">IF(M387="","SEM TARIFA NO CONTRATO",IF(N387&gt;Resumo!$B$4,"ACIMA DA TABELA",IF(N387&lt;-Resumo!$B$4,"ABAIXO DA TABELA","OK")))</f>
        <v>OK</v>
      </c>
    </row>
    <row r="388" customFormat="false" ht="15" hidden="false" customHeight="false" outlineLevel="0" collapsed="false">
      <c r="A388" s="14" t="s">
        <v>827</v>
      </c>
      <c r="B388" s="14" t="s">
        <v>828</v>
      </c>
      <c r="C388" s="14" t="s">
        <v>21</v>
      </c>
      <c r="D388" s="15" t="n">
        <v>46188</v>
      </c>
      <c r="E388" s="14" t="n">
        <f aca="false">MONTH(D388)</f>
        <v>6</v>
      </c>
      <c r="F388" s="14" t="s">
        <v>61</v>
      </c>
      <c r="G388" s="14" t="s">
        <v>50</v>
      </c>
      <c r="H388" s="14" t="s">
        <v>62</v>
      </c>
      <c r="I388" s="16" t="n">
        <v>483.1</v>
      </c>
      <c r="J388" s="17" t="n">
        <v>1.1</v>
      </c>
      <c r="K388" s="18" t="n">
        <v>132</v>
      </c>
      <c r="L388" s="18" t="n">
        <v>531.3</v>
      </c>
      <c r="M388" s="18" t="n">
        <f aca="false">IF(J388="","",ROUND(MAX(I388*J388,K388),2))</f>
        <v>531.41</v>
      </c>
      <c r="N388" s="18" t="n">
        <f aca="false">IF(M388="","",ROUND(L388-M388,2))</f>
        <v>-0.11</v>
      </c>
      <c r="O388" s="19" t="n">
        <f aca="false">IF(M388="","",N388/M388)</f>
        <v>-0.000206996481059822</v>
      </c>
      <c r="P388" s="14" t="str">
        <f aca="false">IF(M388="","SEM TARIFA NO CONTRATO",IF(N388&gt;Resumo!$B$4,"ACIMA DA TABELA",IF(N388&lt;-Resumo!$B$4,"ABAIXO DA TABELA","OK")))</f>
        <v>OK</v>
      </c>
    </row>
    <row r="389" customFormat="false" ht="15" hidden="false" customHeight="false" outlineLevel="0" collapsed="false">
      <c r="A389" s="14" t="s">
        <v>829</v>
      </c>
      <c r="B389" s="14" t="s">
        <v>830</v>
      </c>
      <c r="C389" s="14" t="s">
        <v>22</v>
      </c>
      <c r="D389" s="15" t="n">
        <v>46188</v>
      </c>
      <c r="E389" s="14" t="n">
        <f aca="false">MONTH(D389)</f>
        <v>6</v>
      </c>
      <c r="F389" s="14" t="s">
        <v>49</v>
      </c>
      <c r="G389" s="14" t="s">
        <v>50</v>
      </c>
      <c r="H389" s="14" t="s">
        <v>51</v>
      </c>
      <c r="I389" s="16" t="n">
        <v>182.1</v>
      </c>
      <c r="J389" s="17" t="n">
        <v>4.662</v>
      </c>
      <c r="K389" s="18" t="n">
        <v>396.9</v>
      </c>
      <c r="L389" s="18" t="n">
        <v>943.8</v>
      </c>
      <c r="M389" s="18" t="n">
        <f aca="false">IF(J389="","",ROUND(MAX(I389*J389,K389),2))</f>
        <v>848.95</v>
      </c>
      <c r="N389" s="18" t="n">
        <f aca="false">IF(M389="","",ROUND(L389-M389,2))</f>
        <v>94.85</v>
      </c>
      <c r="O389" s="19" t="n">
        <f aca="false">IF(M389="","",N389/M389)</f>
        <v>0.11172625007362</v>
      </c>
      <c r="P389" s="14" t="str">
        <f aca="false">IF(M389="","SEM TARIFA NO CONTRATO",IF(N389&gt;Resumo!$B$4,"ACIMA DA TABELA",IF(N389&lt;-Resumo!$B$4,"ABAIXO DA TABELA","OK")))</f>
        <v>ACIMA DA TABELA</v>
      </c>
    </row>
    <row r="390" customFormat="false" ht="15" hidden="false" customHeight="false" outlineLevel="0" collapsed="false">
      <c r="A390" s="14" t="s">
        <v>831</v>
      </c>
      <c r="B390" s="14" t="s">
        <v>832</v>
      </c>
      <c r="C390" s="14" t="s">
        <v>21</v>
      </c>
      <c r="D390" s="15" t="n">
        <v>46188</v>
      </c>
      <c r="E390" s="14" t="n">
        <f aca="false">MONTH(D390)</f>
        <v>6</v>
      </c>
      <c r="F390" s="14" t="s">
        <v>49</v>
      </c>
      <c r="G390" s="14" t="s">
        <v>50</v>
      </c>
      <c r="H390" s="14" t="s">
        <v>51</v>
      </c>
      <c r="I390" s="16" t="n">
        <v>2227.5</v>
      </c>
      <c r="J390" s="17" t="n">
        <v>4.884</v>
      </c>
      <c r="K390" s="18" t="n">
        <v>415.8</v>
      </c>
      <c r="L390" s="18" t="n">
        <v>12084.01</v>
      </c>
      <c r="M390" s="18" t="n">
        <f aca="false">IF(J390="","",ROUND(MAX(I390*J390,K390),2))</f>
        <v>10879.11</v>
      </c>
      <c r="N390" s="18" t="n">
        <f aca="false">IF(M390="","",ROUND(L390-M390,2))</f>
        <v>1204.9</v>
      </c>
      <c r="O390" s="19" t="n">
        <f aca="false">IF(M390="","",N390/M390)</f>
        <v>0.110753545096979</v>
      </c>
      <c r="P390" s="14" t="str">
        <f aca="false">IF(M390="","SEM TARIFA NO CONTRATO",IF(N390&gt;Resumo!$B$4,"ACIMA DA TABELA",IF(N390&lt;-Resumo!$B$4,"ABAIXO DA TABELA","OK")))</f>
        <v>ACIMA DA TABELA</v>
      </c>
    </row>
    <row r="391" customFormat="false" ht="15" hidden="false" customHeight="false" outlineLevel="0" collapsed="false">
      <c r="A391" s="14" t="s">
        <v>833</v>
      </c>
      <c r="B391" s="14" t="s">
        <v>834</v>
      </c>
      <c r="C391" s="14" t="s">
        <v>24</v>
      </c>
      <c r="D391" s="15" t="n">
        <v>46188</v>
      </c>
      <c r="E391" s="14" t="n">
        <f aca="false">MONTH(D391)</f>
        <v>6</v>
      </c>
      <c r="F391" s="14" t="s">
        <v>73</v>
      </c>
      <c r="G391" s="14" t="s">
        <v>50</v>
      </c>
      <c r="H391" s="14" t="s">
        <v>74</v>
      </c>
      <c r="I391" s="16" t="n">
        <v>253.1</v>
      </c>
      <c r="J391" s="17" t="n">
        <v>1.144</v>
      </c>
      <c r="K391" s="18" t="n">
        <v>130.8</v>
      </c>
      <c r="L391" s="18" t="n">
        <v>289.91</v>
      </c>
      <c r="M391" s="18" t="n">
        <f aca="false">IF(J391="","",ROUND(MAX(I391*J391,K391),2))</f>
        <v>289.55</v>
      </c>
      <c r="N391" s="18" t="n">
        <f aca="false">IF(M391="","",ROUND(L391-M391,2))</f>
        <v>0.36</v>
      </c>
      <c r="O391" s="19" t="n">
        <f aca="false">IF(M391="","",N391/M391)</f>
        <v>0.00124330858228285</v>
      </c>
      <c r="P391" s="14" t="str">
        <f aca="false">IF(M391="","SEM TARIFA NO CONTRATO",IF(N391&gt;Resumo!$B$4,"ACIMA DA TABELA",IF(N391&lt;-Resumo!$B$4,"ABAIXO DA TABELA","OK")))</f>
        <v>OK</v>
      </c>
    </row>
    <row r="392" customFormat="false" ht="15" hidden="false" customHeight="false" outlineLevel="0" collapsed="false">
      <c r="A392" s="14" t="s">
        <v>835</v>
      </c>
      <c r="B392" s="14" t="s">
        <v>836</v>
      </c>
      <c r="C392" s="14" t="s">
        <v>25</v>
      </c>
      <c r="D392" s="15" t="n">
        <v>46188</v>
      </c>
      <c r="E392" s="14" t="n">
        <f aca="false">MONTH(D392)</f>
        <v>6</v>
      </c>
      <c r="F392" s="14" t="s">
        <v>73</v>
      </c>
      <c r="G392" s="14" t="s">
        <v>50</v>
      </c>
      <c r="H392" s="14" t="s">
        <v>74</v>
      </c>
      <c r="I392" s="16" t="n">
        <v>70.8</v>
      </c>
      <c r="J392" s="17" t="n">
        <v>1.0868</v>
      </c>
      <c r="K392" s="18" t="n">
        <v>124.26</v>
      </c>
      <c r="L392" s="18" t="n">
        <v>124.46</v>
      </c>
      <c r="M392" s="18" t="n">
        <f aca="false">IF(J392="","",ROUND(MAX(I392*J392,K392),2))</f>
        <v>124.26</v>
      </c>
      <c r="N392" s="18" t="n">
        <f aca="false">IF(M392="","",ROUND(L392-M392,2))</f>
        <v>0.2</v>
      </c>
      <c r="O392" s="19" t="n">
        <f aca="false">IF(M392="","",N392/M392)</f>
        <v>0.0016095284081764</v>
      </c>
      <c r="P392" s="14" t="str">
        <f aca="false">IF(M392="","SEM TARIFA NO CONTRATO",IF(N392&gt;Resumo!$B$4,"ACIMA DA TABELA",IF(N392&lt;-Resumo!$B$4,"ABAIXO DA TABELA","OK")))</f>
        <v>OK</v>
      </c>
    </row>
    <row r="393" customFormat="false" ht="15" hidden="false" customHeight="false" outlineLevel="0" collapsed="false">
      <c r="A393" s="14" t="s">
        <v>837</v>
      </c>
      <c r="B393" s="14" t="s">
        <v>838</v>
      </c>
      <c r="C393" s="14" t="s">
        <v>24</v>
      </c>
      <c r="D393" s="15" t="n">
        <v>46189</v>
      </c>
      <c r="E393" s="14" t="n">
        <f aca="false">MONTH(D393)</f>
        <v>6</v>
      </c>
      <c r="F393" s="14" t="s">
        <v>67</v>
      </c>
      <c r="G393" s="14" t="s">
        <v>50</v>
      </c>
      <c r="H393" s="14" t="s">
        <v>68</v>
      </c>
      <c r="I393" s="16" t="n">
        <v>269.7</v>
      </c>
      <c r="J393" s="17" t="n">
        <v>1.96</v>
      </c>
      <c r="K393" s="18" t="n">
        <v>192</v>
      </c>
      <c r="L393" s="18" t="n">
        <v>528.79</v>
      </c>
      <c r="M393" s="18" t="n">
        <f aca="false">IF(J393="","",ROUND(MAX(I393*J393,K393),2))</f>
        <v>528.61</v>
      </c>
      <c r="N393" s="18" t="n">
        <f aca="false">IF(M393="","",ROUND(L393-M393,2))</f>
        <v>0.18</v>
      </c>
      <c r="O393" s="19" t="n">
        <f aca="false">IF(M393="","",N393/M393)</f>
        <v>0.000340515692098144</v>
      </c>
      <c r="P393" s="14" t="str">
        <f aca="false">IF(M393="","SEM TARIFA NO CONTRATO",IF(N393&gt;Resumo!$B$4,"ACIMA DA TABELA",IF(N393&lt;-Resumo!$B$4,"ABAIXO DA TABELA","OK")))</f>
        <v>OK</v>
      </c>
    </row>
    <row r="394" customFormat="false" ht="15" hidden="false" customHeight="false" outlineLevel="0" collapsed="false">
      <c r="A394" s="14" t="s">
        <v>839</v>
      </c>
      <c r="B394" s="14" t="s">
        <v>840</v>
      </c>
      <c r="C394" s="14" t="s">
        <v>21</v>
      </c>
      <c r="D394" s="15" t="n">
        <v>46189</v>
      </c>
      <c r="E394" s="14" t="n">
        <f aca="false">MONTH(D394)</f>
        <v>6</v>
      </c>
      <c r="F394" s="14" t="s">
        <v>67</v>
      </c>
      <c r="G394" s="14" t="s">
        <v>50</v>
      </c>
      <c r="H394" s="14" t="s">
        <v>68</v>
      </c>
      <c r="I394" s="16" t="n">
        <v>290.7</v>
      </c>
      <c r="J394" s="17" t="n">
        <v>2.156</v>
      </c>
      <c r="K394" s="18" t="n">
        <v>211.2</v>
      </c>
      <c r="L394" s="18" t="n">
        <v>626.89</v>
      </c>
      <c r="M394" s="18" t="n">
        <f aca="false">IF(J394="","",ROUND(MAX(I394*J394,K394),2))</f>
        <v>626.75</v>
      </c>
      <c r="N394" s="18" t="n">
        <f aca="false">IF(M394="","",ROUND(L394-M394,2))</f>
        <v>0.14</v>
      </c>
      <c r="O394" s="19" t="n">
        <f aca="false">IF(M394="","",N394/M394)</f>
        <v>0.000223374551256482</v>
      </c>
      <c r="P394" s="14" t="str">
        <f aca="false">IF(M394="","SEM TARIFA NO CONTRATO",IF(N394&gt;Resumo!$B$4,"ACIMA DA TABELA",IF(N394&lt;-Resumo!$B$4,"ABAIXO DA TABELA","OK")))</f>
        <v>OK</v>
      </c>
    </row>
    <row r="395" customFormat="false" ht="15" hidden="false" customHeight="false" outlineLevel="0" collapsed="false">
      <c r="A395" s="14" t="s">
        <v>841</v>
      </c>
      <c r="B395" s="14" t="s">
        <v>842</v>
      </c>
      <c r="C395" s="14" t="s">
        <v>22</v>
      </c>
      <c r="D395" s="15" t="n">
        <v>46189</v>
      </c>
      <c r="E395" s="14" t="n">
        <f aca="false">MONTH(D395)</f>
        <v>6</v>
      </c>
      <c r="F395" s="14" t="s">
        <v>104</v>
      </c>
      <c r="G395" s="14" t="s">
        <v>45</v>
      </c>
      <c r="H395" s="14" t="s">
        <v>68</v>
      </c>
      <c r="I395" s="16" t="n">
        <v>851.3</v>
      </c>
      <c r="J395" s="17" t="n">
        <v>1.386</v>
      </c>
      <c r="K395" s="18" t="n">
        <v>151.2</v>
      </c>
      <c r="L395" s="18" t="n">
        <v>1180.16</v>
      </c>
      <c r="M395" s="18" t="n">
        <f aca="false">IF(J395="","",ROUND(MAX(I395*J395,K395),2))</f>
        <v>1179.9</v>
      </c>
      <c r="N395" s="18" t="n">
        <f aca="false">IF(M395="","",ROUND(L395-M395,2))</f>
        <v>0.26</v>
      </c>
      <c r="O395" s="19" t="n">
        <f aca="false">IF(M395="","",N395/M395)</f>
        <v>0.000220357657428596</v>
      </c>
      <c r="P395" s="14" t="str">
        <f aca="false">IF(M395="","SEM TARIFA NO CONTRATO",IF(N395&gt;Resumo!$B$4,"ACIMA DA TABELA",IF(N395&lt;-Resumo!$B$4,"ABAIXO DA TABELA","OK")))</f>
        <v>OK</v>
      </c>
    </row>
    <row r="396" customFormat="false" ht="15" hidden="false" customHeight="false" outlineLevel="0" collapsed="false">
      <c r="A396" s="14" t="s">
        <v>843</v>
      </c>
      <c r="B396" s="14" t="s">
        <v>844</v>
      </c>
      <c r="C396" s="14" t="s">
        <v>24</v>
      </c>
      <c r="D396" s="15" t="n">
        <v>46190</v>
      </c>
      <c r="E396" s="14" t="n">
        <f aca="false">MONTH(D396)</f>
        <v>6</v>
      </c>
      <c r="F396" s="14" t="s">
        <v>67</v>
      </c>
      <c r="G396" s="14" t="s">
        <v>50</v>
      </c>
      <c r="H396" s="14" t="s">
        <v>68</v>
      </c>
      <c r="I396" s="16" t="n">
        <v>1122.6</v>
      </c>
      <c r="J396" s="17" t="n">
        <v>1.96</v>
      </c>
      <c r="K396" s="18" t="n">
        <v>192</v>
      </c>
      <c r="L396" s="18" t="n">
        <v>2199.95</v>
      </c>
      <c r="M396" s="18" t="n">
        <f aca="false">IF(J396="","",ROUND(MAX(I396*J396,K396),2))</f>
        <v>2200.3</v>
      </c>
      <c r="N396" s="18" t="n">
        <f aca="false">IF(M396="","",ROUND(L396-M396,2))</f>
        <v>-0.35</v>
      </c>
      <c r="O396" s="19" t="n">
        <f aca="false">IF(M396="","",N396/M396)</f>
        <v>-0.000159069217833932</v>
      </c>
      <c r="P396" s="14" t="str">
        <f aca="false">IF(M396="","SEM TARIFA NO CONTRATO",IF(N396&gt;Resumo!$B$4,"ACIMA DA TABELA",IF(N396&lt;-Resumo!$B$4,"ABAIXO DA TABELA","OK")))</f>
        <v>OK</v>
      </c>
    </row>
    <row r="397" customFormat="false" ht="15" hidden="false" customHeight="false" outlineLevel="0" collapsed="false">
      <c r="A397" s="14" t="s">
        <v>845</v>
      </c>
      <c r="B397" s="14" t="s">
        <v>846</v>
      </c>
      <c r="C397" s="14" t="s">
        <v>25</v>
      </c>
      <c r="D397" s="15" t="n">
        <v>46190</v>
      </c>
      <c r="E397" s="14" t="n">
        <f aca="false">MONTH(D397)</f>
        <v>6</v>
      </c>
      <c r="F397" s="14" t="s">
        <v>79</v>
      </c>
      <c r="G397" s="14" t="s">
        <v>50</v>
      </c>
      <c r="H397" s="14" t="s">
        <v>46</v>
      </c>
      <c r="I397" s="16" t="n">
        <v>705</v>
      </c>
      <c r="J397" s="17" t="n">
        <v>0.342</v>
      </c>
      <c r="K397" s="18" t="n">
        <v>68.4</v>
      </c>
      <c r="L397" s="18" t="n">
        <v>241.19</v>
      </c>
      <c r="M397" s="18" t="n">
        <f aca="false">IF(J397="","",ROUND(MAX(I397*J397,K397),2))</f>
        <v>241.11</v>
      </c>
      <c r="N397" s="18" t="n">
        <f aca="false">IF(M397="","",ROUND(L397-M397,2))</f>
        <v>0.08</v>
      </c>
      <c r="O397" s="19" t="n">
        <f aca="false">IF(M397="","",N397/M397)</f>
        <v>0.000331798764049604</v>
      </c>
      <c r="P397" s="14" t="str">
        <f aca="false">IF(M397="","SEM TARIFA NO CONTRATO",IF(N397&gt;Resumo!$B$4,"ACIMA DA TABELA",IF(N397&lt;-Resumo!$B$4,"ABAIXO DA TABELA","OK")))</f>
        <v>OK</v>
      </c>
    </row>
    <row r="398" customFormat="false" ht="15" hidden="false" customHeight="false" outlineLevel="0" collapsed="false">
      <c r="A398" s="14" t="s">
        <v>847</v>
      </c>
      <c r="B398" s="14" t="s">
        <v>848</v>
      </c>
      <c r="C398" s="14" t="s">
        <v>25</v>
      </c>
      <c r="D398" s="15" t="n">
        <v>46191</v>
      </c>
      <c r="E398" s="14" t="n">
        <f aca="false">MONTH(D398)</f>
        <v>6</v>
      </c>
      <c r="F398" s="14" t="s">
        <v>104</v>
      </c>
      <c r="G398" s="14" t="s">
        <v>45</v>
      </c>
      <c r="H398" s="14" t="s">
        <v>68</v>
      </c>
      <c r="I398" s="16" t="n">
        <v>419</v>
      </c>
      <c r="J398" s="17" t="n">
        <v>1.254</v>
      </c>
      <c r="K398" s="18" t="n">
        <v>136.8</v>
      </c>
      <c r="L398" s="18" t="n">
        <v>525.68</v>
      </c>
      <c r="M398" s="18" t="n">
        <f aca="false">IF(J398="","",ROUND(MAX(I398*J398,K398),2))</f>
        <v>525.43</v>
      </c>
      <c r="N398" s="18" t="n">
        <f aca="false">IF(M398="","",ROUND(L398-M398,2))</f>
        <v>0.25</v>
      </c>
      <c r="O398" s="19" t="n">
        <f aca="false">IF(M398="","",N398/M398)</f>
        <v>0.000475800772700455</v>
      </c>
      <c r="P398" s="14" t="str">
        <f aca="false">IF(M398="","SEM TARIFA NO CONTRATO",IF(N398&gt;Resumo!$B$4,"ACIMA DA TABELA",IF(N398&lt;-Resumo!$B$4,"ABAIXO DA TABELA","OK")))</f>
        <v>OK</v>
      </c>
    </row>
    <row r="399" customFormat="false" ht="15" hidden="false" customHeight="false" outlineLevel="0" collapsed="false">
      <c r="A399" s="14" t="s">
        <v>849</v>
      </c>
      <c r="B399" s="14" t="s">
        <v>850</v>
      </c>
      <c r="C399" s="14" t="s">
        <v>25</v>
      </c>
      <c r="D399" s="15" t="n">
        <v>46191</v>
      </c>
      <c r="E399" s="14" t="n">
        <f aca="false">MONTH(D399)</f>
        <v>6</v>
      </c>
      <c r="F399" s="14" t="s">
        <v>56</v>
      </c>
      <c r="G399" s="14" t="s">
        <v>50</v>
      </c>
      <c r="H399" s="14" t="s">
        <v>45</v>
      </c>
      <c r="I399" s="16" t="n">
        <v>638.2</v>
      </c>
      <c r="J399" s="17" t="n">
        <v>0.8132</v>
      </c>
      <c r="K399" s="18" t="n">
        <v>103.74</v>
      </c>
      <c r="L399" s="18" t="n">
        <v>519.05</v>
      </c>
      <c r="M399" s="18" t="n">
        <f aca="false">IF(J399="","",ROUND(MAX(I399*J399,K399),2))</f>
        <v>518.98</v>
      </c>
      <c r="N399" s="18" t="n">
        <f aca="false">IF(M399="","",ROUND(L399-M399,2))</f>
        <v>0.07</v>
      </c>
      <c r="O399" s="19" t="n">
        <f aca="false">IF(M399="","",N399/M399)</f>
        <v>0.000134879956838414</v>
      </c>
      <c r="P399" s="14" t="str">
        <f aca="false">IF(M399="","SEM TARIFA NO CONTRATO",IF(N399&gt;Resumo!$B$4,"ACIMA DA TABELA",IF(N399&lt;-Resumo!$B$4,"ABAIXO DA TABELA","OK")))</f>
        <v>OK</v>
      </c>
    </row>
    <row r="400" customFormat="false" ht="15" hidden="false" customHeight="false" outlineLevel="0" collapsed="false">
      <c r="A400" s="14" t="s">
        <v>851</v>
      </c>
      <c r="B400" s="14" t="s">
        <v>852</v>
      </c>
      <c r="C400" s="14" t="s">
        <v>21</v>
      </c>
      <c r="D400" s="15" t="n">
        <v>46192</v>
      </c>
      <c r="E400" s="14" t="n">
        <f aca="false">MONTH(D400)</f>
        <v>6</v>
      </c>
      <c r="F400" s="14" t="s">
        <v>118</v>
      </c>
      <c r="G400" s="14" t="s">
        <v>50</v>
      </c>
      <c r="H400" s="14" t="s">
        <v>119</v>
      </c>
      <c r="I400" s="16" t="n">
        <v>324.1</v>
      </c>
      <c r="J400" s="17" t="n">
        <v>3.6696</v>
      </c>
      <c r="K400" s="18" t="n">
        <v>324.72</v>
      </c>
      <c r="L400" s="18" t="n">
        <v>1374.14</v>
      </c>
      <c r="M400" s="18" t="n">
        <f aca="false">IF(J400="","",ROUND(MAX(I400*J400,K400),2))</f>
        <v>1189.32</v>
      </c>
      <c r="N400" s="18" t="n">
        <f aca="false">IF(M400="","",ROUND(L400-M400,2))</f>
        <v>184.82</v>
      </c>
      <c r="O400" s="19" t="n">
        <f aca="false">IF(M400="","",N400/M400)</f>
        <v>0.155399724212155</v>
      </c>
      <c r="P400" s="14" t="str">
        <f aca="false">IF(M400="","SEM TARIFA NO CONTRATO",IF(N400&gt;Resumo!$B$4,"ACIMA DA TABELA",IF(N400&lt;-Resumo!$B$4,"ABAIXO DA TABELA","OK")))</f>
        <v>ACIMA DA TABELA</v>
      </c>
    </row>
    <row r="401" customFormat="false" ht="15" hidden="false" customHeight="false" outlineLevel="0" collapsed="false">
      <c r="A401" s="14" t="s">
        <v>853</v>
      </c>
      <c r="B401" s="14" t="s">
        <v>854</v>
      </c>
      <c r="C401" s="14" t="s">
        <v>23</v>
      </c>
      <c r="D401" s="15" t="n">
        <v>46192</v>
      </c>
      <c r="E401" s="14" t="n">
        <f aca="false">MONTH(D401)</f>
        <v>6</v>
      </c>
      <c r="F401" s="14" t="s">
        <v>56</v>
      </c>
      <c r="G401" s="14" t="s">
        <v>50</v>
      </c>
      <c r="H401" s="14" t="s">
        <v>45</v>
      </c>
      <c r="I401" s="16" t="n">
        <v>810.1</v>
      </c>
      <c r="J401" s="17" t="n">
        <v>0.7875</v>
      </c>
      <c r="K401" s="18" t="n">
        <v>100.46</v>
      </c>
      <c r="L401" s="18" t="n">
        <v>638.34</v>
      </c>
      <c r="M401" s="18" t="n">
        <f aca="false">IF(J401="","",ROUND(MAX(I401*J401,K401),2))</f>
        <v>637.95</v>
      </c>
      <c r="N401" s="18" t="n">
        <f aca="false">IF(M401="","",ROUND(L401-M401,2))</f>
        <v>0.39</v>
      </c>
      <c r="O401" s="19" t="n">
        <f aca="false">IF(M401="","",N401/M401)</f>
        <v>0.000611333176581237</v>
      </c>
      <c r="P401" s="14" t="str">
        <f aca="false">IF(M401="","SEM TARIFA NO CONTRATO",IF(N401&gt;Resumo!$B$4,"ACIMA DA TABELA",IF(N401&lt;-Resumo!$B$4,"ABAIXO DA TABELA","OK")))</f>
        <v>OK</v>
      </c>
    </row>
    <row r="402" customFormat="false" ht="15" hidden="false" customHeight="false" outlineLevel="0" collapsed="false">
      <c r="A402" s="14" t="s">
        <v>855</v>
      </c>
      <c r="B402" s="14" t="s">
        <v>856</v>
      </c>
      <c r="C402" s="14" t="s">
        <v>24</v>
      </c>
      <c r="D402" s="15" t="n">
        <v>46192</v>
      </c>
      <c r="E402" s="14" t="n">
        <f aca="false">MONTH(D402)</f>
        <v>6</v>
      </c>
      <c r="F402" s="14" t="s">
        <v>56</v>
      </c>
      <c r="G402" s="14" t="s">
        <v>50</v>
      </c>
      <c r="H402" s="14" t="s">
        <v>45</v>
      </c>
      <c r="I402" s="16" t="n">
        <v>617.9</v>
      </c>
      <c r="J402" s="17" t="n">
        <v>0.856</v>
      </c>
      <c r="K402" s="18" t="n">
        <v>109.2</v>
      </c>
      <c r="L402" s="18" t="n">
        <v>529.28</v>
      </c>
      <c r="M402" s="18" t="n">
        <f aca="false">IF(J402="","",ROUND(MAX(I402*J402,K402),2))</f>
        <v>528.92</v>
      </c>
      <c r="N402" s="18" t="n">
        <f aca="false">IF(M402="","",ROUND(L402-M402,2))</f>
        <v>0.36</v>
      </c>
      <c r="O402" s="19" t="n">
        <f aca="false">IF(M402="","",N402/M402)</f>
        <v>0.000680632231717462</v>
      </c>
      <c r="P402" s="14" t="str">
        <f aca="false">IF(M402="","SEM TARIFA NO CONTRATO",IF(N402&gt;Resumo!$B$4,"ACIMA DA TABELA",IF(N402&lt;-Resumo!$B$4,"ABAIXO DA TABELA","OK")))</f>
        <v>OK</v>
      </c>
    </row>
    <row r="403" customFormat="false" ht="15" hidden="false" customHeight="false" outlineLevel="0" collapsed="false">
      <c r="A403" s="14" t="s">
        <v>857</v>
      </c>
      <c r="B403" s="14" t="s">
        <v>858</v>
      </c>
      <c r="C403" s="14" t="s">
        <v>25</v>
      </c>
      <c r="D403" s="15" t="n">
        <v>46193</v>
      </c>
      <c r="E403" s="14" t="n">
        <f aca="false">MONTH(D403)</f>
        <v>6</v>
      </c>
      <c r="F403" s="14" t="s">
        <v>61</v>
      </c>
      <c r="G403" s="14" t="s">
        <v>50</v>
      </c>
      <c r="H403" s="14" t="s">
        <v>62</v>
      </c>
      <c r="I403" s="16" t="n">
        <v>1033.9</v>
      </c>
      <c r="J403" s="17" t="n">
        <v>0.95</v>
      </c>
      <c r="K403" s="18" t="n">
        <v>114</v>
      </c>
      <c r="L403" s="18" t="n">
        <v>982.34</v>
      </c>
      <c r="M403" s="18" t="n">
        <f aca="false">IF(J403="","",ROUND(MAX(I403*J403,K403),2))</f>
        <v>982.21</v>
      </c>
      <c r="N403" s="18" t="n">
        <f aca="false">IF(M403="","",ROUND(L403-M403,2))</f>
        <v>0.13</v>
      </c>
      <c r="O403" s="19" t="n">
        <f aca="false">IF(M403="","",N403/M403)</f>
        <v>0.000132354588122703</v>
      </c>
      <c r="P403" s="14" t="str">
        <f aca="false">IF(M403="","SEM TARIFA NO CONTRATO",IF(N403&gt;Resumo!$B$4,"ACIMA DA TABELA",IF(N403&lt;-Resumo!$B$4,"ABAIXO DA TABELA","OK")))</f>
        <v>OK</v>
      </c>
    </row>
    <row r="404" customFormat="false" ht="15" hidden="false" customHeight="false" outlineLevel="0" collapsed="false">
      <c r="A404" s="14" t="s">
        <v>859</v>
      </c>
      <c r="B404" s="14" t="s">
        <v>860</v>
      </c>
      <c r="C404" s="14" t="s">
        <v>24</v>
      </c>
      <c r="D404" s="15" t="n">
        <v>46193</v>
      </c>
      <c r="E404" s="14" t="n">
        <f aca="false">MONTH(D404)</f>
        <v>6</v>
      </c>
      <c r="F404" s="14" t="s">
        <v>67</v>
      </c>
      <c r="G404" s="14" t="s">
        <v>50</v>
      </c>
      <c r="H404" s="14" t="s">
        <v>68</v>
      </c>
      <c r="I404" s="16" t="n">
        <v>205.6</v>
      </c>
      <c r="J404" s="17" t="n">
        <v>1.96</v>
      </c>
      <c r="K404" s="18" t="n">
        <v>192</v>
      </c>
      <c r="L404" s="18" t="n">
        <v>402.85</v>
      </c>
      <c r="M404" s="18" t="n">
        <f aca="false">IF(J404="","",ROUND(MAX(I404*J404,K404),2))</f>
        <v>402.98</v>
      </c>
      <c r="N404" s="18" t="n">
        <f aca="false">IF(M404="","",ROUND(L404-M404,2))</f>
        <v>-0.13</v>
      </c>
      <c r="O404" s="19" t="n">
        <f aca="false">IF(M404="","",N404/M404)</f>
        <v>-0.00032259665492084</v>
      </c>
      <c r="P404" s="14" t="str">
        <f aca="false">IF(M404="","SEM TARIFA NO CONTRATO",IF(N404&gt;Resumo!$B$4,"ACIMA DA TABELA",IF(N404&lt;-Resumo!$B$4,"ABAIXO DA TABELA","OK")))</f>
        <v>OK</v>
      </c>
    </row>
    <row r="405" customFormat="false" ht="15" hidden="false" customHeight="false" outlineLevel="0" collapsed="false">
      <c r="A405" s="14" t="s">
        <v>861</v>
      </c>
      <c r="B405" s="14" t="s">
        <v>862</v>
      </c>
      <c r="C405" s="14" t="s">
        <v>25</v>
      </c>
      <c r="D405" s="15" t="n">
        <v>46193</v>
      </c>
      <c r="E405" s="14" t="n">
        <f aca="false">MONTH(D405)</f>
        <v>6</v>
      </c>
      <c r="F405" s="14" t="s">
        <v>49</v>
      </c>
      <c r="G405" s="14" t="s">
        <v>50</v>
      </c>
      <c r="H405" s="14" t="s">
        <v>51</v>
      </c>
      <c r="I405" s="16" t="n">
        <v>1835</v>
      </c>
      <c r="J405" s="17"/>
      <c r="K405" s="18"/>
      <c r="L405" s="18" t="n">
        <v>10184.25</v>
      </c>
      <c r="M405" s="18" t="str">
        <f aca="false">IF(J405="","",ROUND(MAX(I405*J405,K405),2))</f>
        <v/>
      </c>
      <c r="N405" s="18" t="str">
        <f aca="false">IF(M405="","",ROUND(L405-M405,2))</f>
        <v/>
      </c>
      <c r="O405" s="19" t="str">
        <f aca="false">IF(M405="","",N405/M405)</f>
        <v/>
      </c>
      <c r="P405" s="14" t="str">
        <f aca="false">IF(M405="","SEM TARIFA NO CONTRATO",IF(N405&gt;Resumo!$B$4,"ACIMA DA TABELA",IF(N405&lt;-Resumo!$B$4,"ABAIXO DA TABELA","OK")))</f>
        <v>SEM TARIFA NO CONTRATO</v>
      </c>
    </row>
    <row r="406" customFormat="false" ht="15" hidden="false" customHeight="false" outlineLevel="0" collapsed="false">
      <c r="A406" s="14" t="s">
        <v>863</v>
      </c>
      <c r="B406" s="14" t="s">
        <v>864</v>
      </c>
      <c r="C406" s="14" t="s">
        <v>21</v>
      </c>
      <c r="D406" s="15" t="n">
        <v>46193</v>
      </c>
      <c r="E406" s="14" t="n">
        <f aca="false">MONTH(D406)</f>
        <v>6</v>
      </c>
      <c r="F406" s="14" t="s">
        <v>44</v>
      </c>
      <c r="G406" s="14" t="s">
        <v>45</v>
      </c>
      <c r="H406" s="14" t="s">
        <v>46</v>
      </c>
      <c r="I406" s="16" t="n">
        <v>784.7</v>
      </c>
      <c r="J406" s="17"/>
      <c r="K406" s="18"/>
      <c r="L406" s="18" t="n">
        <v>839.63</v>
      </c>
      <c r="M406" s="18" t="str">
        <f aca="false">IF(J406="","",ROUND(MAX(I406*J406,K406),2))</f>
        <v/>
      </c>
      <c r="N406" s="18" t="str">
        <f aca="false">IF(M406="","",ROUND(L406-M406,2))</f>
        <v/>
      </c>
      <c r="O406" s="19" t="str">
        <f aca="false">IF(M406="","",N406/M406)</f>
        <v/>
      </c>
      <c r="P406" s="14" t="str">
        <f aca="false">IF(M406="","SEM TARIFA NO CONTRATO",IF(N406&gt;Resumo!$B$4,"ACIMA DA TABELA",IF(N406&lt;-Resumo!$B$4,"ABAIXO DA TABELA","OK")))</f>
        <v>SEM TARIFA NO CONTRATO</v>
      </c>
    </row>
    <row r="407" customFormat="false" ht="15" hidden="false" customHeight="false" outlineLevel="0" collapsed="false">
      <c r="A407" s="14" t="s">
        <v>865</v>
      </c>
      <c r="B407" s="14" t="s">
        <v>866</v>
      </c>
      <c r="C407" s="14" t="s">
        <v>22</v>
      </c>
      <c r="D407" s="15" t="n">
        <v>46194</v>
      </c>
      <c r="E407" s="14" t="n">
        <f aca="false">MONTH(D407)</f>
        <v>6</v>
      </c>
      <c r="F407" s="14" t="s">
        <v>104</v>
      </c>
      <c r="G407" s="14" t="s">
        <v>45</v>
      </c>
      <c r="H407" s="14" t="s">
        <v>68</v>
      </c>
      <c r="I407" s="16" t="n">
        <v>724</v>
      </c>
      <c r="J407" s="17" t="n">
        <v>1.386</v>
      </c>
      <c r="K407" s="18" t="n">
        <v>151.2</v>
      </c>
      <c r="L407" s="18" t="n">
        <v>1003.64</v>
      </c>
      <c r="M407" s="18" t="n">
        <f aca="false">IF(J407="","",ROUND(MAX(I407*J407,K407),2))</f>
        <v>1003.46</v>
      </c>
      <c r="N407" s="18" t="n">
        <f aca="false">IF(M407="","",ROUND(L407-M407,2))</f>
        <v>0.18</v>
      </c>
      <c r="O407" s="19" t="n">
        <f aca="false">IF(M407="","",N407/M407)</f>
        <v>0.000179379347457796</v>
      </c>
      <c r="P407" s="14" t="str">
        <f aca="false">IF(M407="","SEM TARIFA NO CONTRATO",IF(N407&gt;Resumo!$B$4,"ACIMA DA TABELA",IF(N407&lt;-Resumo!$B$4,"ABAIXO DA TABELA","OK")))</f>
        <v>OK</v>
      </c>
    </row>
    <row r="408" customFormat="false" ht="15" hidden="false" customHeight="false" outlineLevel="0" collapsed="false">
      <c r="A408" s="14" t="s">
        <v>867</v>
      </c>
      <c r="B408" s="14" t="s">
        <v>868</v>
      </c>
      <c r="C408" s="14" t="s">
        <v>24</v>
      </c>
      <c r="D408" s="15" t="n">
        <v>46194</v>
      </c>
      <c r="E408" s="14" t="n">
        <f aca="false">MONTH(D408)</f>
        <v>6</v>
      </c>
      <c r="F408" s="14" t="s">
        <v>79</v>
      </c>
      <c r="G408" s="14" t="s">
        <v>50</v>
      </c>
      <c r="H408" s="14" t="s">
        <v>46</v>
      </c>
      <c r="I408" s="16" t="n">
        <v>830.2</v>
      </c>
      <c r="J408" s="17" t="n">
        <v>0.36</v>
      </c>
      <c r="K408" s="18" t="n">
        <v>72</v>
      </c>
      <c r="L408" s="18" t="n">
        <v>298.7</v>
      </c>
      <c r="M408" s="18" t="n">
        <f aca="false">IF(J408="","",ROUND(MAX(I408*J408,K408),2))</f>
        <v>298.87</v>
      </c>
      <c r="N408" s="18" t="n">
        <f aca="false">IF(M408="","",ROUND(L408-M408,2))</f>
        <v>-0.17</v>
      </c>
      <c r="O408" s="19" t="n">
        <f aca="false">IF(M408="","",N408/M408)</f>
        <v>-0.000568809181249373</v>
      </c>
      <c r="P408" s="14" t="str">
        <f aca="false">IF(M408="","SEM TARIFA NO CONTRATO",IF(N408&gt;Resumo!$B$4,"ACIMA DA TABELA",IF(N408&lt;-Resumo!$B$4,"ABAIXO DA TABELA","OK")))</f>
        <v>OK</v>
      </c>
    </row>
    <row r="409" customFormat="false" ht="15" hidden="false" customHeight="false" outlineLevel="0" collapsed="false">
      <c r="A409" s="14" t="s">
        <v>869</v>
      </c>
      <c r="B409" s="14" t="s">
        <v>870</v>
      </c>
      <c r="C409" s="14" t="s">
        <v>22</v>
      </c>
      <c r="D409" s="15" t="n">
        <v>46194</v>
      </c>
      <c r="E409" s="14" t="n">
        <f aca="false">MONTH(D409)</f>
        <v>6</v>
      </c>
      <c r="F409" s="14" t="s">
        <v>73</v>
      </c>
      <c r="G409" s="14" t="s">
        <v>50</v>
      </c>
      <c r="H409" s="14" t="s">
        <v>74</v>
      </c>
      <c r="I409" s="16" t="n">
        <v>945.1</v>
      </c>
      <c r="J409" s="17" t="n">
        <v>1.2012</v>
      </c>
      <c r="K409" s="18" t="n">
        <v>137.34</v>
      </c>
      <c r="L409" s="18" t="n">
        <v>1134.91</v>
      </c>
      <c r="M409" s="18" t="n">
        <f aca="false">IF(J409="","",ROUND(MAX(I409*J409,K409),2))</f>
        <v>1135.25</v>
      </c>
      <c r="N409" s="18" t="n">
        <f aca="false">IF(M409="","",ROUND(L409-M409,2))</f>
        <v>-0.34</v>
      </c>
      <c r="O409" s="19" t="n">
        <f aca="false">IF(M409="","",N409/M409)</f>
        <v>-0.000299493503633561</v>
      </c>
      <c r="P409" s="14" t="str">
        <f aca="false">IF(M409="","SEM TARIFA NO CONTRATO",IF(N409&gt;Resumo!$B$4,"ACIMA DA TABELA",IF(N409&lt;-Resumo!$B$4,"ABAIXO DA TABELA","OK")))</f>
        <v>OK</v>
      </c>
    </row>
    <row r="410" customFormat="false" ht="15" hidden="false" customHeight="false" outlineLevel="0" collapsed="false">
      <c r="A410" s="14" t="s">
        <v>871</v>
      </c>
      <c r="B410" s="14" t="s">
        <v>872</v>
      </c>
      <c r="C410" s="14" t="s">
        <v>24</v>
      </c>
      <c r="D410" s="15" t="n">
        <v>46194</v>
      </c>
      <c r="E410" s="14" t="n">
        <f aca="false">MONTH(D410)</f>
        <v>6</v>
      </c>
      <c r="F410" s="14" t="s">
        <v>44</v>
      </c>
      <c r="G410" s="14" t="s">
        <v>45</v>
      </c>
      <c r="H410" s="14" t="s">
        <v>46</v>
      </c>
      <c r="I410" s="16" t="n">
        <v>440.5</v>
      </c>
      <c r="J410" s="17" t="n">
        <v>0.856</v>
      </c>
      <c r="K410" s="18" t="n">
        <v>109.2</v>
      </c>
      <c r="L410" s="18" t="n">
        <v>407.64</v>
      </c>
      <c r="M410" s="18" t="n">
        <f aca="false">IF(J410="","",ROUND(MAX(I410*J410,K410),2))</f>
        <v>377.07</v>
      </c>
      <c r="N410" s="18" t="n">
        <f aca="false">IF(M410="","",ROUND(L410-M410,2))</f>
        <v>30.57</v>
      </c>
      <c r="O410" s="19" t="n">
        <f aca="false">IF(M410="","",N410/M410)</f>
        <v>0.0810724799108919</v>
      </c>
      <c r="P410" s="14" t="str">
        <f aca="false">IF(M410="","SEM TARIFA NO CONTRATO",IF(N410&gt;Resumo!$B$4,"ACIMA DA TABELA",IF(N410&lt;-Resumo!$B$4,"ABAIXO DA TABELA","OK")))</f>
        <v>ACIMA DA TABELA</v>
      </c>
    </row>
    <row r="411" customFormat="false" ht="15" hidden="false" customHeight="false" outlineLevel="0" collapsed="false">
      <c r="A411" s="14" t="s">
        <v>873</v>
      </c>
      <c r="B411" s="14" t="s">
        <v>874</v>
      </c>
      <c r="C411" s="14" t="s">
        <v>21</v>
      </c>
      <c r="D411" s="15" t="n">
        <v>46195</v>
      </c>
      <c r="E411" s="14" t="n">
        <f aca="false">MONTH(D411)</f>
        <v>6</v>
      </c>
      <c r="F411" s="14" t="s">
        <v>88</v>
      </c>
      <c r="G411" s="14" t="s">
        <v>50</v>
      </c>
      <c r="H411" s="14" t="s">
        <v>89</v>
      </c>
      <c r="I411" s="16" t="n">
        <v>60.3</v>
      </c>
      <c r="J411" s="17" t="n">
        <v>1.8568</v>
      </c>
      <c r="K411" s="18" t="n">
        <v>188.76</v>
      </c>
      <c r="L411" s="18" t="n">
        <v>189.13</v>
      </c>
      <c r="M411" s="18" t="n">
        <f aca="false">IF(J411="","",ROUND(MAX(I411*J411,K411),2))</f>
        <v>188.76</v>
      </c>
      <c r="N411" s="18" t="n">
        <f aca="false">IF(M411="","",ROUND(L411-M411,2))</f>
        <v>0.37</v>
      </c>
      <c r="O411" s="19" t="n">
        <f aca="false">IF(M411="","",N411/M411)</f>
        <v>0.00196016105107014</v>
      </c>
      <c r="P411" s="14" t="str">
        <f aca="false">IF(M411="","SEM TARIFA NO CONTRATO",IF(N411&gt;Resumo!$B$4,"ACIMA DA TABELA",IF(N411&lt;-Resumo!$B$4,"ABAIXO DA TABELA","OK")))</f>
        <v>OK</v>
      </c>
    </row>
    <row r="412" customFormat="false" ht="15" hidden="false" customHeight="false" outlineLevel="0" collapsed="false">
      <c r="A412" s="14" t="s">
        <v>875</v>
      </c>
      <c r="B412" s="14" t="s">
        <v>876</v>
      </c>
      <c r="C412" s="14" t="s">
        <v>23</v>
      </c>
      <c r="D412" s="15" t="n">
        <v>46196</v>
      </c>
      <c r="E412" s="14" t="n">
        <f aca="false">MONTH(D412)</f>
        <v>6</v>
      </c>
      <c r="F412" s="14" t="s">
        <v>118</v>
      </c>
      <c r="G412" s="14" t="s">
        <v>50</v>
      </c>
      <c r="H412" s="14" t="s">
        <v>119</v>
      </c>
      <c r="I412" s="16" t="n">
        <v>1192.1</v>
      </c>
      <c r="J412" s="17" t="n">
        <v>3.0691</v>
      </c>
      <c r="K412" s="18" t="n">
        <v>271.58</v>
      </c>
      <c r="L412" s="18" t="n">
        <v>3658.33</v>
      </c>
      <c r="M412" s="18" t="n">
        <f aca="false">IF(J412="","",ROUND(MAX(I412*J412,K412),2))</f>
        <v>3658.67</v>
      </c>
      <c r="N412" s="18" t="n">
        <f aca="false">IF(M412="","",ROUND(L412-M412,2))</f>
        <v>-0.34</v>
      </c>
      <c r="O412" s="19" t="n">
        <f aca="false">IF(M412="","",N412/M412)</f>
        <v>-9.29299444880244E-005</v>
      </c>
      <c r="P412" s="14" t="str">
        <f aca="false">IF(M412="","SEM TARIFA NO CONTRATO",IF(N412&gt;Resumo!$B$4,"ACIMA DA TABELA",IF(N412&lt;-Resumo!$B$4,"ABAIXO DA TABELA","OK")))</f>
        <v>OK</v>
      </c>
    </row>
    <row r="413" customFormat="false" ht="15" hidden="false" customHeight="false" outlineLevel="0" collapsed="false">
      <c r="A413" s="14" t="s">
        <v>877</v>
      </c>
      <c r="B413" s="14" t="s">
        <v>878</v>
      </c>
      <c r="C413" s="14" t="s">
        <v>24</v>
      </c>
      <c r="D413" s="15" t="n">
        <v>46197</v>
      </c>
      <c r="E413" s="14" t="n">
        <f aca="false">MONTH(D413)</f>
        <v>6</v>
      </c>
      <c r="F413" s="14" t="s">
        <v>44</v>
      </c>
      <c r="G413" s="14" t="s">
        <v>45</v>
      </c>
      <c r="H413" s="14" t="s">
        <v>46</v>
      </c>
      <c r="I413" s="16" t="n">
        <v>134.6</v>
      </c>
      <c r="J413" s="17" t="n">
        <v>0.856</v>
      </c>
      <c r="K413" s="18" t="n">
        <v>109.2</v>
      </c>
      <c r="L413" s="18" t="n">
        <v>115.21</v>
      </c>
      <c r="M413" s="18" t="n">
        <f aca="false">IF(J413="","",ROUND(MAX(I413*J413,K413),2))</f>
        <v>115.22</v>
      </c>
      <c r="N413" s="18" t="n">
        <f aca="false">IF(M413="","",ROUND(L413-M413,2))</f>
        <v>-0.01</v>
      </c>
      <c r="O413" s="19" t="n">
        <f aca="false">IF(M413="","",N413/M413)</f>
        <v>-8.67904877625412E-005</v>
      </c>
      <c r="P413" s="14" t="str">
        <f aca="false">IF(M413="","SEM TARIFA NO CONTRATO",IF(N413&gt;Resumo!$B$4,"ACIMA DA TABELA",IF(N413&lt;-Resumo!$B$4,"ABAIXO DA TABELA","OK")))</f>
        <v>OK</v>
      </c>
    </row>
    <row r="414" customFormat="false" ht="15" hidden="false" customHeight="false" outlineLevel="0" collapsed="false">
      <c r="A414" s="14" t="s">
        <v>879</v>
      </c>
      <c r="B414" s="14" t="s">
        <v>880</v>
      </c>
      <c r="C414" s="14" t="s">
        <v>24</v>
      </c>
      <c r="D414" s="15" t="n">
        <v>46197</v>
      </c>
      <c r="E414" s="14" t="n">
        <f aca="false">MONTH(D414)</f>
        <v>6</v>
      </c>
      <c r="F414" s="14" t="s">
        <v>56</v>
      </c>
      <c r="G414" s="14" t="s">
        <v>50</v>
      </c>
      <c r="H414" s="14" t="s">
        <v>45</v>
      </c>
      <c r="I414" s="16" t="n">
        <v>1923.7</v>
      </c>
      <c r="J414" s="17" t="n">
        <v>0.856</v>
      </c>
      <c r="K414" s="18" t="n">
        <v>109.2</v>
      </c>
      <c r="L414" s="18" t="n">
        <v>1646.94</v>
      </c>
      <c r="M414" s="18" t="n">
        <f aca="false">IF(J414="","",ROUND(MAX(I414*J414,K414),2))</f>
        <v>1646.69</v>
      </c>
      <c r="N414" s="18" t="n">
        <f aca="false">IF(M414="","",ROUND(L414-M414,2))</f>
        <v>0.25</v>
      </c>
      <c r="O414" s="19" t="n">
        <f aca="false">IF(M414="","",N414/M414)</f>
        <v>0.000151819711056726</v>
      </c>
      <c r="P414" s="14" t="str">
        <f aca="false">IF(M414="","SEM TARIFA NO CONTRATO",IF(N414&gt;Resumo!$B$4,"ACIMA DA TABELA",IF(N414&lt;-Resumo!$B$4,"ABAIXO DA TABELA","OK")))</f>
        <v>OK</v>
      </c>
    </row>
    <row r="415" customFormat="false" ht="15" hidden="false" customHeight="false" outlineLevel="0" collapsed="false">
      <c r="A415" s="14" t="s">
        <v>881</v>
      </c>
      <c r="B415" s="14" t="s">
        <v>882</v>
      </c>
      <c r="C415" s="14" t="s">
        <v>21</v>
      </c>
      <c r="D415" s="15" t="n">
        <v>46197</v>
      </c>
      <c r="E415" s="14" t="n">
        <f aca="false">MONTH(D415)</f>
        <v>6</v>
      </c>
      <c r="F415" s="14" t="s">
        <v>73</v>
      </c>
      <c r="G415" s="14" t="s">
        <v>50</v>
      </c>
      <c r="H415" s="14" t="s">
        <v>74</v>
      </c>
      <c r="I415" s="16" t="n">
        <v>1081.2</v>
      </c>
      <c r="J415" s="17" t="n">
        <v>1.2584</v>
      </c>
      <c r="K415" s="18" t="n">
        <v>143.88</v>
      </c>
      <c r="L415" s="18" t="n">
        <v>1360.2</v>
      </c>
      <c r="M415" s="18" t="n">
        <f aca="false">IF(J415="","",ROUND(MAX(I415*J415,K415),2))</f>
        <v>1360.58</v>
      </c>
      <c r="N415" s="18" t="n">
        <f aca="false">IF(M415="","",ROUND(L415-M415,2))</f>
        <v>-0.38</v>
      </c>
      <c r="O415" s="19" t="n">
        <f aca="false">IF(M415="","",N415/M415)</f>
        <v>-0.000279292654603184</v>
      </c>
      <c r="P415" s="14" t="str">
        <f aca="false">IF(M415="","SEM TARIFA NO CONTRATO",IF(N415&gt;Resumo!$B$4,"ACIMA DA TABELA",IF(N415&lt;-Resumo!$B$4,"ABAIXO DA TABELA","OK")))</f>
        <v>OK</v>
      </c>
    </row>
    <row r="416" customFormat="false" ht="15" hidden="false" customHeight="false" outlineLevel="0" collapsed="false">
      <c r="A416" s="14" t="s">
        <v>883</v>
      </c>
      <c r="B416" s="14" t="s">
        <v>884</v>
      </c>
      <c r="C416" s="14" t="s">
        <v>25</v>
      </c>
      <c r="D416" s="15" t="n">
        <v>46198</v>
      </c>
      <c r="E416" s="14" t="n">
        <f aca="false">MONTH(D416)</f>
        <v>6</v>
      </c>
      <c r="F416" s="14" t="s">
        <v>61</v>
      </c>
      <c r="G416" s="14" t="s">
        <v>50</v>
      </c>
      <c r="H416" s="14" t="s">
        <v>62</v>
      </c>
      <c r="I416" s="16" t="n">
        <v>141</v>
      </c>
      <c r="J416" s="17" t="n">
        <v>0.95</v>
      </c>
      <c r="K416" s="18" t="n">
        <v>114</v>
      </c>
      <c r="L416" s="18" t="n">
        <v>133.76</v>
      </c>
      <c r="M416" s="18" t="n">
        <f aca="false">IF(J416="","",ROUND(MAX(I416*J416,K416),2))</f>
        <v>133.95</v>
      </c>
      <c r="N416" s="18" t="n">
        <f aca="false">IF(M416="","",ROUND(L416-M416,2))</f>
        <v>-0.19</v>
      </c>
      <c r="O416" s="19" t="n">
        <f aca="false">IF(M416="","",N416/M416)</f>
        <v>-0.00141843971631206</v>
      </c>
      <c r="P416" s="14" t="str">
        <f aca="false">IF(M416="","SEM TARIFA NO CONTRATO",IF(N416&gt;Resumo!$B$4,"ACIMA DA TABELA",IF(N416&lt;-Resumo!$B$4,"ABAIXO DA TABELA","OK")))</f>
        <v>OK</v>
      </c>
    </row>
    <row r="417" customFormat="false" ht="15" hidden="false" customHeight="false" outlineLevel="0" collapsed="false">
      <c r="A417" s="14" t="s">
        <v>885</v>
      </c>
      <c r="B417" s="14" t="s">
        <v>886</v>
      </c>
      <c r="C417" s="14" t="s">
        <v>24</v>
      </c>
      <c r="D417" s="15" t="n">
        <v>46198</v>
      </c>
      <c r="E417" s="14" t="n">
        <f aca="false">MONTH(D417)</f>
        <v>6</v>
      </c>
      <c r="F417" s="14" t="s">
        <v>56</v>
      </c>
      <c r="G417" s="14" t="s">
        <v>50</v>
      </c>
      <c r="H417" s="14" t="s">
        <v>45</v>
      </c>
      <c r="I417" s="16" t="n">
        <v>43.1</v>
      </c>
      <c r="J417" s="17" t="n">
        <v>0.856</v>
      </c>
      <c r="K417" s="18" t="n">
        <v>109.2</v>
      </c>
      <c r="L417" s="18" t="n">
        <v>109.5</v>
      </c>
      <c r="M417" s="18" t="n">
        <f aca="false">IF(J417="","",ROUND(MAX(I417*J417,K417),2))</f>
        <v>109.2</v>
      </c>
      <c r="N417" s="18" t="n">
        <f aca="false">IF(M417="","",ROUND(L417-M417,2))</f>
        <v>0.3</v>
      </c>
      <c r="O417" s="19" t="n">
        <f aca="false">IF(M417="","",N417/M417)</f>
        <v>0.00274725274725275</v>
      </c>
      <c r="P417" s="14" t="str">
        <f aca="false">IF(M417="","SEM TARIFA NO CONTRATO",IF(N417&gt;Resumo!$B$4,"ACIMA DA TABELA",IF(N417&lt;-Resumo!$B$4,"ABAIXO DA TABELA","OK")))</f>
        <v>OK</v>
      </c>
    </row>
    <row r="418" customFormat="false" ht="15" hidden="false" customHeight="false" outlineLevel="0" collapsed="false">
      <c r="A418" s="14" t="s">
        <v>887</v>
      </c>
      <c r="B418" s="14" t="s">
        <v>888</v>
      </c>
      <c r="C418" s="14" t="s">
        <v>24</v>
      </c>
      <c r="D418" s="15" t="n">
        <v>46198</v>
      </c>
      <c r="E418" s="14" t="n">
        <f aca="false">MONTH(D418)</f>
        <v>6</v>
      </c>
      <c r="F418" s="14" t="s">
        <v>61</v>
      </c>
      <c r="G418" s="14" t="s">
        <v>50</v>
      </c>
      <c r="H418" s="14" t="s">
        <v>62</v>
      </c>
      <c r="I418" s="16" t="n">
        <v>277.4</v>
      </c>
      <c r="J418" s="17" t="n">
        <v>1</v>
      </c>
      <c r="K418" s="18" t="n">
        <v>120</v>
      </c>
      <c r="L418" s="18" t="n">
        <v>277.4</v>
      </c>
      <c r="M418" s="18" t="n">
        <f aca="false">IF(J418="","",ROUND(MAX(I418*J418,K418),2))</f>
        <v>277.4</v>
      </c>
      <c r="N418" s="18" t="n">
        <f aca="false">IF(M418="","",ROUND(L418-M418,2))</f>
        <v>0</v>
      </c>
      <c r="O418" s="19" t="n">
        <f aca="false">IF(M418="","",N418/M418)</f>
        <v>0</v>
      </c>
      <c r="P418" s="14" t="str">
        <f aca="false">IF(M418="","SEM TARIFA NO CONTRATO",IF(N418&gt;Resumo!$B$4,"ACIMA DA TABELA",IF(N418&lt;-Resumo!$B$4,"ABAIXO DA TABELA","OK")))</f>
        <v>OK</v>
      </c>
    </row>
    <row r="419" customFormat="false" ht="15" hidden="false" customHeight="false" outlineLevel="0" collapsed="false">
      <c r="A419" s="14" t="s">
        <v>889</v>
      </c>
      <c r="B419" s="14" t="s">
        <v>890</v>
      </c>
      <c r="C419" s="14" t="s">
        <v>23</v>
      </c>
      <c r="D419" s="15" t="n">
        <v>46199</v>
      </c>
      <c r="E419" s="14" t="n">
        <f aca="false">MONTH(D419)</f>
        <v>6</v>
      </c>
      <c r="F419" s="14" t="s">
        <v>118</v>
      </c>
      <c r="G419" s="14" t="s">
        <v>50</v>
      </c>
      <c r="H419" s="14" t="s">
        <v>119</v>
      </c>
      <c r="I419" s="16" t="n">
        <v>312.3</v>
      </c>
      <c r="J419" s="17" t="n">
        <v>3.0691</v>
      </c>
      <c r="K419" s="18" t="n">
        <v>271.58</v>
      </c>
      <c r="L419" s="18" t="n">
        <v>958.34</v>
      </c>
      <c r="M419" s="18" t="n">
        <f aca="false">IF(J419="","",ROUND(MAX(I419*J419,K419),2))</f>
        <v>958.48</v>
      </c>
      <c r="N419" s="18" t="n">
        <f aca="false">IF(M419="","",ROUND(L419-M419,2))</f>
        <v>-0.14</v>
      </c>
      <c r="O419" s="19" t="n">
        <f aca="false">IF(M419="","",N419/M419)</f>
        <v>-0.000146064602286954</v>
      </c>
      <c r="P419" s="14" t="str">
        <f aca="false">IF(M419="","SEM TARIFA NO CONTRATO",IF(N419&gt;Resumo!$B$4,"ACIMA DA TABELA",IF(N419&lt;-Resumo!$B$4,"ABAIXO DA TABELA","OK")))</f>
        <v>OK</v>
      </c>
    </row>
    <row r="420" customFormat="false" ht="15" hidden="false" customHeight="false" outlineLevel="0" collapsed="false">
      <c r="A420" s="14" t="s">
        <v>891</v>
      </c>
      <c r="B420" s="14" t="s">
        <v>892</v>
      </c>
      <c r="C420" s="14" t="s">
        <v>23</v>
      </c>
      <c r="D420" s="15" t="n">
        <v>46199</v>
      </c>
      <c r="E420" s="14" t="n">
        <f aca="false">MONTH(D420)</f>
        <v>6</v>
      </c>
      <c r="F420" s="14" t="s">
        <v>88</v>
      </c>
      <c r="G420" s="14" t="s">
        <v>50</v>
      </c>
      <c r="H420" s="14" t="s">
        <v>89</v>
      </c>
      <c r="I420" s="16" t="n">
        <v>995.6</v>
      </c>
      <c r="J420" s="17" t="n">
        <v>1.553</v>
      </c>
      <c r="K420" s="18" t="n">
        <v>157.87</v>
      </c>
      <c r="L420" s="18" t="n">
        <v>1545.88</v>
      </c>
      <c r="M420" s="18" t="n">
        <f aca="false">IF(J420="","",ROUND(MAX(I420*J420,K420),2))</f>
        <v>1546.17</v>
      </c>
      <c r="N420" s="18" t="n">
        <f aca="false">IF(M420="","",ROUND(L420-M420,2))</f>
        <v>-0.29</v>
      </c>
      <c r="O420" s="19" t="n">
        <f aca="false">IF(M420="","",N420/M420)</f>
        <v>-0.000187560229470239</v>
      </c>
      <c r="P420" s="14" t="str">
        <f aca="false">IF(M420="","SEM TARIFA NO CONTRATO",IF(N420&gt;Resumo!$B$4,"ACIMA DA TABELA",IF(N420&lt;-Resumo!$B$4,"ABAIXO DA TABELA","OK")))</f>
        <v>OK</v>
      </c>
    </row>
    <row r="421" customFormat="false" ht="15" hidden="false" customHeight="false" outlineLevel="0" collapsed="false">
      <c r="A421" s="14" t="s">
        <v>893</v>
      </c>
      <c r="B421" s="14" t="s">
        <v>894</v>
      </c>
      <c r="C421" s="14" t="s">
        <v>22</v>
      </c>
      <c r="D421" s="15" t="n">
        <v>46200</v>
      </c>
      <c r="E421" s="14" t="n">
        <f aca="false">MONTH(D421)</f>
        <v>6</v>
      </c>
      <c r="F421" s="14" t="s">
        <v>67</v>
      </c>
      <c r="G421" s="14" t="s">
        <v>50</v>
      </c>
      <c r="H421" s="14" t="s">
        <v>68</v>
      </c>
      <c r="I421" s="16" t="n">
        <v>1011.2</v>
      </c>
      <c r="J421" s="17" t="n">
        <v>2.058</v>
      </c>
      <c r="K421" s="18" t="n">
        <v>201.6</v>
      </c>
      <c r="L421" s="18" t="n">
        <v>2080.88</v>
      </c>
      <c r="M421" s="18" t="n">
        <f aca="false">IF(J421="","",ROUND(MAX(I421*J421,K421),2))</f>
        <v>2081.05</v>
      </c>
      <c r="N421" s="18" t="n">
        <f aca="false">IF(M421="","",ROUND(L421-M421,2))</f>
        <v>-0.17</v>
      </c>
      <c r="O421" s="19" t="n">
        <f aca="false">IF(M421="","",N421/M421)</f>
        <v>-8.16895317267725E-005</v>
      </c>
      <c r="P421" s="14" t="str">
        <f aca="false">IF(M421="","SEM TARIFA NO CONTRATO",IF(N421&gt;Resumo!$B$4,"ACIMA DA TABELA",IF(N421&lt;-Resumo!$B$4,"ABAIXO DA TABELA","OK")))</f>
        <v>OK</v>
      </c>
    </row>
    <row r="422" customFormat="false" ht="15" hidden="false" customHeight="false" outlineLevel="0" collapsed="false">
      <c r="A422" s="14" t="s">
        <v>895</v>
      </c>
      <c r="B422" s="14" t="s">
        <v>896</v>
      </c>
      <c r="C422" s="14" t="s">
        <v>24</v>
      </c>
      <c r="D422" s="15" t="n">
        <v>46200</v>
      </c>
      <c r="E422" s="14" t="n">
        <f aca="false">MONTH(D422)</f>
        <v>6</v>
      </c>
      <c r="F422" s="14" t="s">
        <v>67</v>
      </c>
      <c r="G422" s="14" t="s">
        <v>50</v>
      </c>
      <c r="H422" s="14" t="s">
        <v>68</v>
      </c>
      <c r="I422" s="16" t="n">
        <v>977.2</v>
      </c>
      <c r="J422" s="17" t="n">
        <v>1.96</v>
      </c>
      <c r="K422" s="18" t="n">
        <v>192</v>
      </c>
      <c r="L422" s="18" t="n">
        <v>1914.92</v>
      </c>
      <c r="M422" s="18" t="n">
        <f aca="false">IF(J422="","",ROUND(MAX(I422*J422,K422),2))</f>
        <v>1915.31</v>
      </c>
      <c r="N422" s="18" t="n">
        <f aca="false">IF(M422="","",ROUND(L422-M422,2))</f>
        <v>-0.39</v>
      </c>
      <c r="O422" s="19" t="n">
        <f aca="false">IF(M422="","",N422/M422)</f>
        <v>-0.000203622390109173</v>
      </c>
      <c r="P422" s="14" t="str">
        <f aca="false">IF(M422="","SEM TARIFA NO CONTRATO",IF(N422&gt;Resumo!$B$4,"ACIMA DA TABELA",IF(N422&lt;-Resumo!$B$4,"ABAIXO DA TABELA","OK")))</f>
        <v>OK</v>
      </c>
    </row>
    <row r="423" customFormat="false" ht="15" hidden="false" customHeight="false" outlineLevel="0" collapsed="false">
      <c r="A423" s="14" t="s">
        <v>897</v>
      </c>
      <c r="B423" s="14" t="s">
        <v>898</v>
      </c>
      <c r="C423" s="14" t="s">
        <v>22</v>
      </c>
      <c r="D423" s="15" t="n">
        <v>46202</v>
      </c>
      <c r="E423" s="14" t="n">
        <f aca="false">MONTH(D423)</f>
        <v>6</v>
      </c>
      <c r="F423" s="14" t="s">
        <v>67</v>
      </c>
      <c r="G423" s="14" t="s">
        <v>50</v>
      </c>
      <c r="H423" s="14" t="s">
        <v>68</v>
      </c>
      <c r="I423" s="16" t="n">
        <v>584.6</v>
      </c>
      <c r="J423" s="17" t="n">
        <v>2.058</v>
      </c>
      <c r="K423" s="18" t="n">
        <v>201.6</v>
      </c>
      <c r="L423" s="18" t="n">
        <v>1202.82</v>
      </c>
      <c r="M423" s="18" t="n">
        <f aca="false">IF(J423="","",ROUND(MAX(I423*J423,K423),2))</f>
        <v>1203.11</v>
      </c>
      <c r="N423" s="18" t="n">
        <f aca="false">IF(M423="","",ROUND(L423-M423,2))</f>
        <v>-0.29</v>
      </c>
      <c r="O423" s="19" t="n">
        <f aca="false">IF(M423="","",N423/M423)</f>
        <v>-0.000241041966237501</v>
      </c>
      <c r="P423" s="14" t="str">
        <f aca="false">IF(M423="","SEM TARIFA NO CONTRATO",IF(N423&gt;Resumo!$B$4,"ACIMA DA TABELA",IF(N423&lt;-Resumo!$B$4,"ABAIXO DA TABELA","OK")))</f>
        <v>OK</v>
      </c>
    </row>
    <row r="424" customFormat="false" ht="15" hidden="false" customHeight="false" outlineLevel="0" collapsed="false">
      <c r="A424" s="14" t="s">
        <v>899</v>
      </c>
      <c r="B424" s="14" t="s">
        <v>900</v>
      </c>
      <c r="C424" s="14" t="s">
        <v>25</v>
      </c>
      <c r="D424" s="15" t="n">
        <v>46203</v>
      </c>
      <c r="E424" s="14" t="n">
        <f aca="false">MONTH(D424)</f>
        <v>6</v>
      </c>
      <c r="F424" s="14" t="s">
        <v>79</v>
      </c>
      <c r="G424" s="14" t="s">
        <v>50</v>
      </c>
      <c r="H424" s="14" t="s">
        <v>46</v>
      </c>
      <c r="I424" s="16" t="n">
        <v>296</v>
      </c>
      <c r="J424" s="17" t="n">
        <v>0.342</v>
      </c>
      <c r="K424" s="18" t="n">
        <v>68.4</v>
      </c>
      <c r="L424" s="18" t="n">
        <v>101.55</v>
      </c>
      <c r="M424" s="18" t="n">
        <f aca="false">IF(J424="","",ROUND(MAX(I424*J424,K424),2))</f>
        <v>101.23</v>
      </c>
      <c r="N424" s="18" t="n">
        <f aca="false">IF(M424="","",ROUND(L424-M424,2))</f>
        <v>0.32</v>
      </c>
      <c r="O424" s="19" t="n">
        <f aca="false">IF(M424="","",N424/M424)</f>
        <v>0.00316111824557937</v>
      </c>
      <c r="P424" s="14" t="str">
        <f aca="false">IF(M424="","SEM TARIFA NO CONTRATO",IF(N424&gt;Resumo!$B$4,"ACIMA DA TABELA",IF(N424&lt;-Resumo!$B$4,"ABAIXO DA TABELA","OK")))</f>
        <v>OK</v>
      </c>
    </row>
    <row r="425" customFormat="false" ht="15" hidden="false" customHeight="false" outlineLevel="0" collapsed="false">
      <c r="A425" s="14" t="s">
        <v>901</v>
      </c>
      <c r="B425" s="14" t="s">
        <v>902</v>
      </c>
      <c r="C425" s="14" t="s">
        <v>25</v>
      </c>
      <c r="D425" s="15" t="n">
        <v>46203</v>
      </c>
      <c r="E425" s="14" t="n">
        <f aca="false">MONTH(D425)</f>
        <v>6</v>
      </c>
      <c r="F425" s="14" t="s">
        <v>79</v>
      </c>
      <c r="G425" s="14" t="s">
        <v>50</v>
      </c>
      <c r="H425" s="14" t="s">
        <v>46</v>
      </c>
      <c r="I425" s="16" t="n">
        <v>248</v>
      </c>
      <c r="J425" s="17" t="n">
        <v>0.342</v>
      </c>
      <c r="K425" s="18" t="n">
        <v>68.4</v>
      </c>
      <c r="L425" s="18" t="n">
        <v>84.95</v>
      </c>
      <c r="M425" s="18" t="n">
        <f aca="false">IF(J425="","",ROUND(MAX(I425*J425,K425),2))</f>
        <v>84.82</v>
      </c>
      <c r="N425" s="18" t="n">
        <f aca="false">IF(M425="","",ROUND(L425-M425,2))</f>
        <v>0.13</v>
      </c>
      <c r="O425" s="19" t="n">
        <f aca="false">IF(M425="","",N425/M425)</f>
        <v>0.0015326573921245</v>
      </c>
      <c r="P425" s="14" t="str">
        <f aca="false">IF(M425="","SEM TARIFA NO CONTRATO",IF(N425&gt;Resumo!$B$4,"ACIMA DA TABELA",IF(N425&lt;-Resumo!$B$4,"ABAIXO DA TABELA","OK")))</f>
        <v>OK</v>
      </c>
    </row>
    <row r="426" customFormat="false" ht="15" hidden="false" customHeight="false" outlineLevel="0" collapsed="false">
      <c r="A426" s="14" t="s">
        <v>903</v>
      </c>
      <c r="B426" s="14" t="s">
        <v>904</v>
      </c>
      <c r="C426" s="14" t="s">
        <v>25</v>
      </c>
      <c r="D426" s="15" t="n">
        <v>46203</v>
      </c>
      <c r="E426" s="14" t="n">
        <f aca="false">MONTH(D426)</f>
        <v>6</v>
      </c>
      <c r="F426" s="14" t="s">
        <v>79</v>
      </c>
      <c r="G426" s="14" t="s">
        <v>50</v>
      </c>
      <c r="H426" s="14" t="s">
        <v>46</v>
      </c>
      <c r="I426" s="16" t="n">
        <v>674.4</v>
      </c>
      <c r="J426" s="17" t="n">
        <v>0.342</v>
      </c>
      <c r="K426" s="18" t="n">
        <v>68.4</v>
      </c>
      <c r="L426" s="18" t="n">
        <v>230.76</v>
      </c>
      <c r="M426" s="18" t="n">
        <f aca="false">IF(J426="","",ROUND(MAX(I426*J426,K426),2))</f>
        <v>230.64</v>
      </c>
      <c r="N426" s="18" t="n">
        <f aca="false">IF(M426="","",ROUND(L426-M426,2))</f>
        <v>0.12</v>
      </c>
      <c r="O426" s="19" t="n">
        <f aca="false">IF(M426="","",N426/M426)</f>
        <v>0.000520291363163372</v>
      </c>
      <c r="P426" s="14" t="str">
        <f aca="false">IF(M426="","SEM TARIFA NO CONTRATO",IF(N426&gt;Resumo!$B$4,"ACIMA DA TABELA",IF(N426&lt;-Resumo!$B$4,"ABAIXO DA TABELA","OK")))</f>
        <v>OK</v>
      </c>
    </row>
    <row r="427" customFormat="false" ht="15" hidden="false" customHeight="false" outlineLevel="0" collapsed="false">
      <c r="A427" s="14" t="s">
        <v>905</v>
      </c>
      <c r="B427" s="14" t="s">
        <v>906</v>
      </c>
      <c r="C427" s="14" t="s">
        <v>21</v>
      </c>
      <c r="D427" s="15" t="n">
        <v>46203</v>
      </c>
      <c r="E427" s="14" t="n">
        <f aca="false">MONTH(D427)</f>
        <v>6</v>
      </c>
      <c r="F427" s="14" t="s">
        <v>88</v>
      </c>
      <c r="G427" s="14" t="s">
        <v>50</v>
      </c>
      <c r="H427" s="14" t="s">
        <v>89</v>
      </c>
      <c r="I427" s="16" t="n">
        <v>2400.6</v>
      </c>
      <c r="J427" s="17" t="n">
        <v>1.8568</v>
      </c>
      <c r="K427" s="18" t="n">
        <v>188.76</v>
      </c>
      <c r="L427" s="18" t="n">
        <v>5340.37</v>
      </c>
      <c r="M427" s="18" t="n">
        <f aca="false">IF(J427="","",ROUND(MAX(I427*J427,K427),2))</f>
        <v>4457.43</v>
      </c>
      <c r="N427" s="18" t="n">
        <f aca="false">IF(M427="","",ROUND(L427-M427,2))</f>
        <v>882.94</v>
      </c>
      <c r="O427" s="19" t="n">
        <f aca="false">IF(M427="","",N427/M427)</f>
        <v>0.198082751720162</v>
      </c>
      <c r="P427" s="14" t="str">
        <f aca="false">IF(M427="","SEM TARIFA NO CONTRATO",IF(N427&gt;Resumo!$B$4,"ACIMA DA TABELA",IF(N427&lt;-Resumo!$B$4,"ABAIXO DA TABELA","OK")))</f>
        <v>ACIMA DA TABELA</v>
      </c>
    </row>
    <row r="428" customFormat="false" ht="15" hidden="false" customHeight="false" outlineLevel="0" collapsed="false">
      <c r="A428" s="14" t="s">
        <v>907</v>
      </c>
      <c r="B428" s="14" t="s">
        <v>908</v>
      </c>
      <c r="C428" s="14" t="s">
        <v>24</v>
      </c>
      <c r="D428" s="15" t="n">
        <v>46204</v>
      </c>
      <c r="E428" s="14" t="n">
        <f aca="false">MONTH(D428)</f>
        <v>7</v>
      </c>
      <c r="F428" s="14" t="s">
        <v>61</v>
      </c>
      <c r="G428" s="14" t="s">
        <v>50</v>
      </c>
      <c r="H428" s="14" t="s">
        <v>62</v>
      </c>
      <c r="I428" s="16" t="n">
        <v>130.3</v>
      </c>
      <c r="J428" s="17" t="n">
        <v>1.05</v>
      </c>
      <c r="K428" s="18" t="n">
        <v>126</v>
      </c>
      <c r="L428" s="18" t="n">
        <v>136.87</v>
      </c>
      <c r="M428" s="18" t="n">
        <f aca="false">IF(J428="","",ROUND(MAX(I428*J428,K428),2))</f>
        <v>136.82</v>
      </c>
      <c r="N428" s="18" t="n">
        <f aca="false">IF(M428="","",ROUND(L428-M428,2))</f>
        <v>0.05</v>
      </c>
      <c r="O428" s="19" t="n">
        <f aca="false">IF(M428="","",N428/M428)</f>
        <v>0.000365443648589388</v>
      </c>
      <c r="P428" s="14" t="str">
        <f aca="false">IF(M428="","SEM TARIFA NO CONTRATO",IF(N428&gt;Resumo!$B$4,"ACIMA DA TABELA",IF(N428&lt;-Resumo!$B$4,"ABAIXO DA TABELA","OK")))</f>
        <v>OK</v>
      </c>
    </row>
    <row r="429" customFormat="false" ht="15" hidden="false" customHeight="false" outlineLevel="0" collapsed="false">
      <c r="A429" s="14" t="s">
        <v>909</v>
      </c>
      <c r="B429" s="14" t="s">
        <v>910</v>
      </c>
      <c r="C429" s="14" t="s">
        <v>24</v>
      </c>
      <c r="D429" s="15" t="n">
        <v>46204</v>
      </c>
      <c r="E429" s="14" t="n">
        <f aca="false">MONTH(D429)</f>
        <v>7</v>
      </c>
      <c r="F429" s="14" t="s">
        <v>56</v>
      </c>
      <c r="G429" s="14" t="s">
        <v>50</v>
      </c>
      <c r="H429" s="14" t="s">
        <v>45</v>
      </c>
      <c r="I429" s="16" t="n">
        <v>254.7</v>
      </c>
      <c r="J429" s="17" t="n">
        <v>0.8988</v>
      </c>
      <c r="K429" s="18" t="n">
        <v>114.66</v>
      </c>
      <c r="L429" s="18" t="n">
        <v>228.78</v>
      </c>
      <c r="M429" s="18" t="n">
        <f aca="false">IF(J429="","",ROUND(MAX(I429*J429,K429),2))</f>
        <v>228.92</v>
      </c>
      <c r="N429" s="18" t="n">
        <f aca="false">IF(M429="","",ROUND(L429-M429,2))</f>
        <v>-0.14</v>
      </c>
      <c r="O429" s="19" t="n">
        <f aca="false">IF(M429="","",N429/M429)</f>
        <v>-0.000611567359776341</v>
      </c>
      <c r="P429" s="14" t="str">
        <f aca="false">IF(M429="","SEM TARIFA NO CONTRATO",IF(N429&gt;Resumo!$B$4,"ACIMA DA TABELA",IF(N429&lt;-Resumo!$B$4,"ABAIXO DA TABELA","OK")))</f>
        <v>OK</v>
      </c>
    </row>
    <row r="430" customFormat="false" ht="15" hidden="false" customHeight="false" outlineLevel="0" collapsed="false">
      <c r="A430" s="14" t="s">
        <v>911</v>
      </c>
      <c r="B430" s="14" t="s">
        <v>912</v>
      </c>
      <c r="C430" s="14" t="s">
        <v>21</v>
      </c>
      <c r="D430" s="15" t="n">
        <v>46204</v>
      </c>
      <c r="E430" s="14" t="n">
        <f aca="false">MONTH(D430)</f>
        <v>7</v>
      </c>
      <c r="F430" s="14" t="s">
        <v>73</v>
      </c>
      <c r="G430" s="14" t="s">
        <v>50</v>
      </c>
      <c r="H430" s="14" t="s">
        <v>74</v>
      </c>
      <c r="I430" s="16" t="n">
        <v>166.5</v>
      </c>
      <c r="J430" s="17" t="n">
        <v>1.3213</v>
      </c>
      <c r="K430" s="18" t="n">
        <v>151.07</v>
      </c>
      <c r="L430" s="18" t="n">
        <v>219.89</v>
      </c>
      <c r="M430" s="18" t="n">
        <f aca="false">IF(J430="","",ROUND(MAX(I430*J430,K430),2))</f>
        <v>220</v>
      </c>
      <c r="N430" s="18" t="n">
        <f aca="false">IF(M430="","",ROUND(L430-M430,2))</f>
        <v>-0.11</v>
      </c>
      <c r="O430" s="19" t="n">
        <f aca="false">IF(M430="","",N430/M430)</f>
        <v>-0.0005</v>
      </c>
      <c r="P430" s="14" t="str">
        <f aca="false">IF(M430="","SEM TARIFA NO CONTRATO",IF(N430&gt;Resumo!$B$4,"ACIMA DA TABELA",IF(N430&lt;-Resumo!$B$4,"ABAIXO DA TABELA","OK")))</f>
        <v>OK</v>
      </c>
    </row>
    <row r="431" customFormat="false" ht="15" hidden="false" customHeight="false" outlineLevel="0" collapsed="false">
      <c r="A431" s="14" t="s">
        <v>913</v>
      </c>
      <c r="B431" s="14" t="s">
        <v>914</v>
      </c>
      <c r="C431" s="14" t="s">
        <v>22</v>
      </c>
      <c r="D431" s="15" t="n">
        <v>46204</v>
      </c>
      <c r="E431" s="14" t="n">
        <f aca="false">MONTH(D431)</f>
        <v>7</v>
      </c>
      <c r="F431" s="14" t="s">
        <v>88</v>
      </c>
      <c r="G431" s="14" t="s">
        <v>50</v>
      </c>
      <c r="H431" s="14" t="s">
        <v>89</v>
      </c>
      <c r="I431" s="16" t="n">
        <v>205.7</v>
      </c>
      <c r="J431" s="17"/>
      <c r="K431" s="18"/>
      <c r="L431" s="18" t="n">
        <v>434.03</v>
      </c>
      <c r="M431" s="18" t="str">
        <f aca="false">IF(J431="","",ROUND(MAX(I431*J431,K431),2))</f>
        <v/>
      </c>
      <c r="N431" s="18" t="str">
        <f aca="false">IF(M431="","",ROUND(L431-M431,2))</f>
        <v/>
      </c>
      <c r="O431" s="19" t="str">
        <f aca="false">IF(M431="","",N431/M431)</f>
        <v/>
      </c>
      <c r="P431" s="14" t="str">
        <f aca="false">IF(M431="","SEM TARIFA NO CONTRATO",IF(N431&gt;Resumo!$B$4,"ACIMA DA TABELA",IF(N431&lt;-Resumo!$B$4,"ABAIXO DA TABELA","OK")))</f>
        <v>SEM TARIFA NO CONTRATO</v>
      </c>
    </row>
    <row r="432" customFormat="false" ht="15" hidden="false" customHeight="false" outlineLevel="0" collapsed="false">
      <c r="A432" s="14" t="s">
        <v>915</v>
      </c>
      <c r="B432" s="14" t="s">
        <v>916</v>
      </c>
      <c r="C432" s="14" t="s">
        <v>21</v>
      </c>
      <c r="D432" s="15" t="n">
        <v>46205</v>
      </c>
      <c r="E432" s="14" t="n">
        <f aca="false">MONTH(D432)</f>
        <v>7</v>
      </c>
      <c r="F432" s="14" t="s">
        <v>73</v>
      </c>
      <c r="G432" s="14" t="s">
        <v>50</v>
      </c>
      <c r="H432" s="14" t="s">
        <v>74</v>
      </c>
      <c r="I432" s="16" t="n">
        <v>174.2</v>
      </c>
      <c r="J432" s="17" t="n">
        <v>1.3213</v>
      </c>
      <c r="K432" s="18" t="n">
        <v>151.07</v>
      </c>
      <c r="L432" s="18" t="n">
        <v>229.91</v>
      </c>
      <c r="M432" s="18" t="n">
        <f aca="false">IF(J432="","",ROUND(MAX(I432*J432,K432),2))</f>
        <v>230.17</v>
      </c>
      <c r="N432" s="18" t="n">
        <f aca="false">IF(M432="","",ROUND(L432-M432,2))</f>
        <v>-0.26</v>
      </c>
      <c r="O432" s="19" t="n">
        <f aca="false">IF(M432="","",N432/M432)</f>
        <v>-0.00112959986097233</v>
      </c>
      <c r="P432" s="14" t="str">
        <f aca="false">IF(M432="","SEM TARIFA NO CONTRATO",IF(N432&gt;Resumo!$B$4,"ACIMA DA TABELA",IF(N432&lt;-Resumo!$B$4,"ABAIXO DA TABELA","OK")))</f>
        <v>OK</v>
      </c>
    </row>
    <row r="433" customFormat="false" ht="15" hidden="false" customHeight="false" outlineLevel="0" collapsed="false">
      <c r="A433" s="14" t="s">
        <v>917</v>
      </c>
      <c r="B433" s="14" t="s">
        <v>918</v>
      </c>
      <c r="C433" s="14" t="s">
        <v>21</v>
      </c>
      <c r="D433" s="15" t="n">
        <v>46205</v>
      </c>
      <c r="E433" s="14" t="n">
        <f aca="false">MONTH(D433)</f>
        <v>7</v>
      </c>
      <c r="F433" s="14" t="s">
        <v>67</v>
      </c>
      <c r="G433" s="14" t="s">
        <v>50</v>
      </c>
      <c r="H433" s="14" t="s">
        <v>68</v>
      </c>
      <c r="I433" s="16" t="n">
        <v>93.1</v>
      </c>
      <c r="J433" s="17" t="n">
        <v>2.2638</v>
      </c>
      <c r="K433" s="18" t="n">
        <v>221.76</v>
      </c>
      <c r="L433" s="18" t="n">
        <v>221.44</v>
      </c>
      <c r="M433" s="18" t="n">
        <f aca="false">IF(J433="","",ROUND(MAX(I433*J433,K433),2))</f>
        <v>221.76</v>
      </c>
      <c r="N433" s="18" t="n">
        <f aca="false">IF(M433="","",ROUND(L433-M433,2))</f>
        <v>-0.32</v>
      </c>
      <c r="O433" s="19" t="n">
        <f aca="false">IF(M433="","",N433/M433)</f>
        <v>-0.00144300144300144</v>
      </c>
      <c r="P433" s="14" t="str">
        <f aca="false">IF(M433="","SEM TARIFA NO CONTRATO",IF(N433&gt;Resumo!$B$4,"ACIMA DA TABELA",IF(N433&lt;-Resumo!$B$4,"ABAIXO DA TABELA","OK")))</f>
        <v>OK</v>
      </c>
    </row>
    <row r="434" customFormat="false" ht="15" hidden="false" customHeight="false" outlineLevel="0" collapsed="false">
      <c r="A434" s="14" t="s">
        <v>919</v>
      </c>
      <c r="B434" s="14" t="s">
        <v>920</v>
      </c>
      <c r="C434" s="14" t="s">
        <v>23</v>
      </c>
      <c r="D434" s="15" t="n">
        <v>46206</v>
      </c>
      <c r="E434" s="14" t="n">
        <f aca="false">MONTH(D434)</f>
        <v>7</v>
      </c>
      <c r="F434" s="14" t="s">
        <v>118</v>
      </c>
      <c r="G434" s="14" t="s">
        <v>50</v>
      </c>
      <c r="H434" s="14" t="s">
        <v>119</v>
      </c>
      <c r="I434" s="16" t="n">
        <v>193.1</v>
      </c>
      <c r="J434" s="17" t="n">
        <v>3.2226</v>
      </c>
      <c r="K434" s="18" t="n">
        <v>285.16</v>
      </c>
      <c r="L434" s="18" t="n">
        <v>622.66</v>
      </c>
      <c r="M434" s="18" t="n">
        <f aca="false">IF(J434="","",ROUND(MAX(I434*J434,K434),2))</f>
        <v>622.28</v>
      </c>
      <c r="N434" s="18" t="n">
        <f aca="false">IF(M434="","",ROUND(L434-M434,2))</f>
        <v>0.38</v>
      </c>
      <c r="O434" s="19" t="n">
        <f aca="false">IF(M434="","",N434/M434)</f>
        <v>0.000610657581795976</v>
      </c>
      <c r="P434" s="14" t="str">
        <f aca="false">IF(M434="","SEM TARIFA NO CONTRATO",IF(N434&gt;Resumo!$B$4,"ACIMA DA TABELA",IF(N434&lt;-Resumo!$B$4,"ABAIXO DA TABELA","OK")))</f>
        <v>OK</v>
      </c>
    </row>
    <row r="435" customFormat="false" ht="15" hidden="false" customHeight="false" outlineLevel="0" collapsed="false">
      <c r="A435" s="14" t="s">
        <v>921</v>
      </c>
      <c r="B435" s="14" t="s">
        <v>922</v>
      </c>
      <c r="C435" s="14" t="s">
        <v>25</v>
      </c>
      <c r="D435" s="15" t="n">
        <v>46206</v>
      </c>
      <c r="E435" s="14" t="n">
        <f aca="false">MONTH(D435)</f>
        <v>7</v>
      </c>
      <c r="F435" s="14" t="s">
        <v>44</v>
      </c>
      <c r="G435" s="14" t="s">
        <v>45</v>
      </c>
      <c r="H435" s="14" t="s">
        <v>46</v>
      </c>
      <c r="I435" s="16" t="n">
        <v>310.5</v>
      </c>
      <c r="J435" s="17" t="n">
        <v>0.8539</v>
      </c>
      <c r="K435" s="18" t="n">
        <v>108.93</v>
      </c>
      <c r="L435" s="18" t="n">
        <v>265.44</v>
      </c>
      <c r="M435" s="18" t="n">
        <f aca="false">IF(J435="","",ROUND(MAX(I435*J435,K435),2))</f>
        <v>265.14</v>
      </c>
      <c r="N435" s="18" t="n">
        <f aca="false">IF(M435="","",ROUND(L435-M435,2))</f>
        <v>0.3</v>
      </c>
      <c r="O435" s="19" t="n">
        <f aca="false">IF(M435="","",N435/M435)</f>
        <v>0.00113147770988912</v>
      </c>
      <c r="P435" s="14" t="str">
        <f aca="false">IF(M435="","SEM TARIFA NO CONTRATO",IF(N435&gt;Resumo!$B$4,"ACIMA DA TABELA",IF(N435&lt;-Resumo!$B$4,"ABAIXO DA TABELA","OK")))</f>
        <v>OK</v>
      </c>
    </row>
    <row r="436" customFormat="false" ht="15" hidden="false" customHeight="false" outlineLevel="0" collapsed="false">
      <c r="A436" s="14" t="s">
        <v>923</v>
      </c>
      <c r="B436" s="14" t="s">
        <v>924</v>
      </c>
      <c r="C436" s="14" t="s">
        <v>25</v>
      </c>
      <c r="D436" s="15" t="n">
        <v>46206</v>
      </c>
      <c r="E436" s="14" t="n">
        <f aca="false">MONTH(D436)</f>
        <v>7</v>
      </c>
      <c r="F436" s="14" t="s">
        <v>44</v>
      </c>
      <c r="G436" s="14" t="s">
        <v>45</v>
      </c>
      <c r="H436" s="14" t="s">
        <v>46</v>
      </c>
      <c r="I436" s="16" t="n">
        <v>530.1</v>
      </c>
      <c r="J436" s="17" t="n">
        <v>0.8539</v>
      </c>
      <c r="K436" s="18" t="n">
        <v>108.93</v>
      </c>
      <c r="L436" s="18" t="n">
        <v>452.92</v>
      </c>
      <c r="M436" s="18" t="n">
        <f aca="false">IF(J436="","",ROUND(MAX(I436*J436,K436),2))</f>
        <v>452.65</v>
      </c>
      <c r="N436" s="18" t="n">
        <f aca="false">IF(M436="","",ROUND(L436-M436,2))</f>
        <v>0.27</v>
      </c>
      <c r="O436" s="19" t="n">
        <f aca="false">IF(M436="","",N436/M436)</f>
        <v>0.00059648735225892</v>
      </c>
      <c r="P436" s="14" t="str">
        <f aca="false">IF(M436="","SEM TARIFA NO CONTRATO",IF(N436&gt;Resumo!$B$4,"ACIMA DA TABELA",IF(N436&lt;-Resumo!$B$4,"ABAIXO DA TABELA","OK")))</f>
        <v>OK</v>
      </c>
    </row>
    <row r="437" customFormat="false" ht="15" hidden="false" customHeight="false" outlineLevel="0" collapsed="false">
      <c r="A437" s="14" t="s">
        <v>925</v>
      </c>
      <c r="B437" s="14" t="s">
        <v>926</v>
      </c>
      <c r="C437" s="14" t="s">
        <v>22</v>
      </c>
      <c r="D437" s="15" t="n">
        <v>46206</v>
      </c>
      <c r="E437" s="14" t="n">
        <f aca="false">MONTH(D437)</f>
        <v>7</v>
      </c>
      <c r="F437" s="14" t="s">
        <v>56</v>
      </c>
      <c r="G437" s="14" t="s">
        <v>50</v>
      </c>
      <c r="H437" s="14" t="s">
        <v>45</v>
      </c>
      <c r="I437" s="16" t="n">
        <v>769.5</v>
      </c>
      <c r="J437" s="17" t="n">
        <v>0.9437</v>
      </c>
      <c r="K437" s="18" t="n">
        <v>120.39</v>
      </c>
      <c r="L437" s="18" t="n">
        <v>795.16</v>
      </c>
      <c r="M437" s="18" t="n">
        <f aca="false">IF(J437="","",ROUND(MAX(I437*J437,K437),2))</f>
        <v>726.18</v>
      </c>
      <c r="N437" s="18" t="n">
        <f aca="false">IF(M437="","",ROUND(L437-M437,2))</f>
        <v>68.98</v>
      </c>
      <c r="O437" s="19" t="n">
        <f aca="false">IF(M437="","",N437/M437)</f>
        <v>0.0949902228097717</v>
      </c>
      <c r="P437" s="14" t="str">
        <f aca="false">IF(M437="","SEM TARIFA NO CONTRATO",IF(N437&gt;Resumo!$B$4,"ACIMA DA TABELA",IF(N437&lt;-Resumo!$B$4,"ABAIXO DA TABELA","OK")))</f>
        <v>ACIMA DA TABELA</v>
      </c>
    </row>
    <row r="438" customFormat="false" ht="15" hidden="false" customHeight="false" outlineLevel="0" collapsed="false">
      <c r="A438" s="14" t="s">
        <v>927</v>
      </c>
      <c r="B438" s="14" t="s">
        <v>928</v>
      </c>
      <c r="C438" s="14" t="s">
        <v>24</v>
      </c>
      <c r="D438" s="15" t="n">
        <v>46206</v>
      </c>
      <c r="E438" s="14" t="n">
        <f aca="false">MONTH(D438)</f>
        <v>7</v>
      </c>
      <c r="F438" s="14" t="s">
        <v>56</v>
      </c>
      <c r="G438" s="14" t="s">
        <v>50</v>
      </c>
      <c r="H438" s="14" t="s">
        <v>45</v>
      </c>
      <c r="I438" s="16" t="n">
        <v>1721.8</v>
      </c>
      <c r="J438" s="17" t="n">
        <v>0.8988</v>
      </c>
      <c r="K438" s="18" t="n">
        <v>114.66</v>
      </c>
      <c r="L438" s="18" t="n">
        <v>1547.86</v>
      </c>
      <c r="M438" s="18" t="n">
        <f aca="false">IF(J438="","",ROUND(MAX(I438*J438,K438),2))</f>
        <v>1547.55</v>
      </c>
      <c r="N438" s="18" t="n">
        <f aca="false">IF(M438="","",ROUND(L438-M438,2))</f>
        <v>0.31</v>
      </c>
      <c r="O438" s="19" t="n">
        <f aca="false">IF(M438="","",N438/M438)</f>
        <v>0.000200316629511163</v>
      </c>
      <c r="P438" s="14" t="str">
        <f aca="false">IF(M438="","SEM TARIFA NO CONTRATO",IF(N438&gt;Resumo!$B$4,"ACIMA DA TABELA",IF(N438&lt;-Resumo!$B$4,"ABAIXO DA TABELA","OK")))</f>
        <v>OK</v>
      </c>
    </row>
    <row r="439" customFormat="false" ht="15" hidden="false" customHeight="false" outlineLevel="0" collapsed="false">
      <c r="A439" s="14" t="s">
        <v>929</v>
      </c>
      <c r="B439" s="14" t="s">
        <v>930</v>
      </c>
      <c r="C439" s="14" t="s">
        <v>22</v>
      </c>
      <c r="D439" s="15" t="n">
        <v>46206</v>
      </c>
      <c r="E439" s="14" t="n">
        <f aca="false">MONTH(D439)</f>
        <v>7</v>
      </c>
      <c r="F439" s="14" t="s">
        <v>49</v>
      </c>
      <c r="G439" s="14" t="s">
        <v>50</v>
      </c>
      <c r="H439" s="14" t="s">
        <v>51</v>
      </c>
      <c r="I439" s="16" t="n">
        <v>1226.1</v>
      </c>
      <c r="J439" s="17" t="n">
        <v>4.8951</v>
      </c>
      <c r="K439" s="18" t="n">
        <v>416.75</v>
      </c>
      <c r="L439" s="18" t="n">
        <v>6572.06</v>
      </c>
      <c r="M439" s="18" t="n">
        <f aca="false">IF(J439="","",ROUND(MAX(I439*J439,K439),2))</f>
        <v>6001.88</v>
      </c>
      <c r="N439" s="18" t="n">
        <f aca="false">IF(M439="","",ROUND(L439-M439,2))</f>
        <v>570.18</v>
      </c>
      <c r="O439" s="19" t="n">
        <f aca="false">IF(M439="","",N439/M439)</f>
        <v>0.0950002332602451</v>
      </c>
      <c r="P439" s="14" t="str">
        <f aca="false">IF(M439="","SEM TARIFA NO CONTRATO",IF(N439&gt;Resumo!$B$4,"ACIMA DA TABELA",IF(N439&lt;-Resumo!$B$4,"ABAIXO DA TABELA","OK")))</f>
        <v>ACIMA DA TABELA</v>
      </c>
    </row>
    <row r="440" customFormat="false" ht="15" hidden="false" customHeight="false" outlineLevel="0" collapsed="false">
      <c r="A440" s="14" t="s">
        <v>931</v>
      </c>
      <c r="B440" s="14" t="s">
        <v>932</v>
      </c>
      <c r="C440" s="14" t="s">
        <v>22</v>
      </c>
      <c r="D440" s="15" t="n">
        <v>46207</v>
      </c>
      <c r="E440" s="14" t="n">
        <f aca="false">MONTH(D440)</f>
        <v>7</v>
      </c>
      <c r="F440" s="14" t="s">
        <v>73</v>
      </c>
      <c r="G440" s="14" t="s">
        <v>50</v>
      </c>
      <c r="H440" s="14" t="s">
        <v>74</v>
      </c>
      <c r="I440" s="16" t="n">
        <v>562.4</v>
      </c>
      <c r="J440" s="17" t="n">
        <v>1.2613</v>
      </c>
      <c r="K440" s="18" t="n">
        <v>144.21</v>
      </c>
      <c r="L440" s="18" t="n">
        <v>776.74</v>
      </c>
      <c r="M440" s="18" t="n">
        <f aca="false">IF(J440="","",ROUND(MAX(I440*J440,K440),2))</f>
        <v>709.36</v>
      </c>
      <c r="N440" s="18" t="n">
        <f aca="false">IF(M440="","",ROUND(L440-M440,2))</f>
        <v>67.38</v>
      </c>
      <c r="O440" s="19" t="n">
        <f aca="false">IF(M440="","",N440/M440)</f>
        <v>0.0949870305627608</v>
      </c>
      <c r="P440" s="14" t="str">
        <f aca="false">IF(M440="","SEM TARIFA NO CONTRATO",IF(N440&gt;Resumo!$B$4,"ACIMA DA TABELA",IF(N440&lt;-Resumo!$B$4,"ABAIXO DA TABELA","OK")))</f>
        <v>ACIMA DA TABELA</v>
      </c>
    </row>
    <row r="441" customFormat="false" ht="15" hidden="false" customHeight="false" outlineLevel="0" collapsed="false">
      <c r="A441" s="14" t="s">
        <v>933</v>
      </c>
      <c r="B441" s="14" t="s">
        <v>934</v>
      </c>
      <c r="C441" s="14" t="s">
        <v>23</v>
      </c>
      <c r="D441" s="15" t="n">
        <v>46207</v>
      </c>
      <c r="E441" s="14" t="n">
        <f aca="false">MONTH(D441)</f>
        <v>7</v>
      </c>
      <c r="F441" s="14" t="s">
        <v>79</v>
      </c>
      <c r="G441" s="14" t="s">
        <v>50</v>
      </c>
      <c r="H441" s="14" t="s">
        <v>46</v>
      </c>
      <c r="I441" s="16" t="n">
        <v>1791.3</v>
      </c>
      <c r="J441" s="17" t="n">
        <v>0.3478</v>
      </c>
      <c r="K441" s="18" t="n">
        <v>69.55</v>
      </c>
      <c r="L441" s="18" t="n">
        <v>622.91</v>
      </c>
      <c r="M441" s="18" t="n">
        <f aca="false">IF(J441="","",ROUND(MAX(I441*J441,K441),2))</f>
        <v>623.01</v>
      </c>
      <c r="N441" s="18" t="n">
        <f aca="false">IF(M441="","",ROUND(L441-M441,2))</f>
        <v>-0.1</v>
      </c>
      <c r="O441" s="19" t="n">
        <f aca="false">IF(M441="","",N441/M441)</f>
        <v>-0.000160511067238086</v>
      </c>
      <c r="P441" s="14" t="str">
        <f aca="false">IF(M441="","SEM TARIFA NO CONTRATO",IF(N441&gt;Resumo!$B$4,"ACIMA DA TABELA",IF(N441&lt;-Resumo!$B$4,"ABAIXO DA TABELA","OK")))</f>
        <v>OK</v>
      </c>
    </row>
    <row r="442" customFormat="false" ht="15" hidden="false" customHeight="false" outlineLevel="0" collapsed="false">
      <c r="A442" s="14" t="s">
        <v>935</v>
      </c>
      <c r="B442" s="14" t="s">
        <v>936</v>
      </c>
      <c r="C442" s="14" t="s">
        <v>25</v>
      </c>
      <c r="D442" s="15" t="n">
        <v>46207</v>
      </c>
      <c r="E442" s="14" t="n">
        <f aca="false">MONTH(D442)</f>
        <v>7</v>
      </c>
      <c r="F442" s="14" t="s">
        <v>79</v>
      </c>
      <c r="G442" s="14" t="s">
        <v>50</v>
      </c>
      <c r="H442" s="14" t="s">
        <v>46</v>
      </c>
      <c r="I442" s="16" t="n">
        <v>1870.4</v>
      </c>
      <c r="J442" s="17" t="n">
        <v>0.3591</v>
      </c>
      <c r="K442" s="18" t="n">
        <v>71.82</v>
      </c>
      <c r="L442" s="18" t="n">
        <v>671.64</v>
      </c>
      <c r="M442" s="18" t="n">
        <f aca="false">IF(J442="","",ROUND(MAX(I442*J442,K442),2))</f>
        <v>671.66</v>
      </c>
      <c r="N442" s="18" t="n">
        <f aca="false">IF(M442="","",ROUND(L442-M442,2))</f>
        <v>-0.02</v>
      </c>
      <c r="O442" s="19" t="n">
        <f aca="false">IF(M442="","",N442/M442)</f>
        <v>-2.97769704910222E-005</v>
      </c>
      <c r="P442" s="14" t="str">
        <f aca="false">IF(M442="","SEM TARIFA NO CONTRATO",IF(N442&gt;Resumo!$B$4,"ACIMA DA TABELA",IF(N442&lt;-Resumo!$B$4,"ABAIXO DA TABELA","OK")))</f>
        <v>OK</v>
      </c>
    </row>
    <row r="443" customFormat="false" ht="15" hidden="false" customHeight="false" outlineLevel="0" collapsed="false">
      <c r="A443" s="14" t="s">
        <v>937</v>
      </c>
      <c r="B443" s="14" t="s">
        <v>938</v>
      </c>
      <c r="C443" s="14" t="s">
        <v>23</v>
      </c>
      <c r="D443" s="15" t="n">
        <v>46207</v>
      </c>
      <c r="E443" s="14" t="n">
        <f aca="false">MONTH(D443)</f>
        <v>7</v>
      </c>
      <c r="F443" s="14" t="s">
        <v>118</v>
      </c>
      <c r="G443" s="14" t="s">
        <v>50</v>
      </c>
      <c r="H443" s="14" t="s">
        <v>119</v>
      </c>
      <c r="I443" s="16" t="n">
        <v>970.2</v>
      </c>
      <c r="J443" s="17" t="n">
        <v>3.2226</v>
      </c>
      <c r="K443" s="18" t="n">
        <v>285.16</v>
      </c>
      <c r="L443" s="18" t="n">
        <v>3126.76</v>
      </c>
      <c r="M443" s="18" t="n">
        <f aca="false">IF(J443="","",ROUND(MAX(I443*J443,K443),2))</f>
        <v>3126.57</v>
      </c>
      <c r="N443" s="18" t="n">
        <f aca="false">IF(M443="","",ROUND(L443-M443,2))</f>
        <v>0.19</v>
      </c>
      <c r="O443" s="19" t="n">
        <f aca="false">IF(M443="","",N443/M443)</f>
        <v>6.07694694185641E-005</v>
      </c>
      <c r="P443" s="14" t="str">
        <f aca="false">IF(M443="","SEM TARIFA NO CONTRATO",IF(N443&gt;Resumo!$B$4,"ACIMA DA TABELA",IF(N443&lt;-Resumo!$B$4,"ABAIXO DA TABELA","OK")))</f>
        <v>OK</v>
      </c>
    </row>
    <row r="444" customFormat="false" ht="15" hidden="false" customHeight="false" outlineLevel="0" collapsed="false">
      <c r="A444" s="14" t="s">
        <v>939</v>
      </c>
      <c r="B444" s="14" t="s">
        <v>940</v>
      </c>
      <c r="C444" s="14" t="s">
        <v>25</v>
      </c>
      <c r="D444" s="15" t="n">
        <v>46207</v>
      </c>
      <c r="E444" s="14" t="n">
        <f aca="false">MONTH(D444)</f>
        <v>7</v>
      </c>
      <c r="F444" s="14" t="s">
        <v>104</v>
      </c>
      <c r="G444" s="14" t="s">
        <v>45</v>
      </c>
      <c r="H444" s="14" t="s">
        <v>68</v>
      </c>
      <c r="I444" s="16" t="n">
        <v>60.1</v>
      </c>
      <c r="J444" s="17" t="n">
        <v>1.3167</v>
      </c>
      <c r="K444" s="18" t="n">
        <v>143.64</v>
      </c>
      <c r="L444" s="18" t="n">
        <v>164.29</v>
      </c>
      <c r="M444" s="18" t="n">
        <f aca="false">IF(J444="","",ROUND(MAX(I444*J444,K444),2))</f>
        <v>143.64</v>
      </c>
      <c r="N444" s="18" t="n">
        <f aca="false">IF(M444="","",ROUND(L444-M444,2))</f>
        <v>20.65</v>
      </c>
      <c r="O444" s="19" t="n">
        <f aca="false">IF(M444="","",N444/M444)</f>
        <v>0.143762183235867</v>
      </c>
      <c r="P444" s="14" t="str">
        <f aca="false">IF(M444="","SEM TARIFA NO CONTRATO",IF(N444&gt;Resumo!$B$4,"ACIMA DA TABELA",IF(N444&lt;-Resumo!$B$4,"ABAIXO DA TABELA","OK")))</f>
        <v>ACIMA DA TABELA</v>
      </c>
    </row>
    <row r="445" customFormat="false" ht="15" hidden="false" customHeight="false" outlineLevel="0" collapsed="false">
      <c r="A445" s="14" t="s">
        <v>941</v>
      </c>
      <c r="B445" s="14" t="s">
        <v>942</v>
      </c>
      <c r="C445" s="14" t="s">
        <v>21</v>
      </c>
      <c r="D445" s="15" t="n">
        <v>46207</v>
      </c>
      <c r="E445" s="14" t="n">
        <f aca="false">MONTH(D445)</f>
        <v>7</v>
      </c>
      <c r="F445" s="14" t="s">
        <v>118</v>
      </c>
      <c r="G445" s="14" t="s">
        <v>50</v>
      </c>
      <c r="H445" s="14" t="s">
        <v>119</v>
      </c>
      <c r="I445" s="16" t="n">
        <v>301.6</v>
      </c>
      <c r="J445" s="17" t="n">
        <v>3.8531</v>
      </c>
      <c r="K445" s="18" t="n">
        <v>340.96</v>
      </c>
      <c r="L445" s="18" t="n">
        <v>1288.03</v>
      </c>
      <c r="M445" s="18" t="n">
        <f aca="false">IF(J445="","",ROUND(MAX(I445*J445,K445),2))</f>
        <v>1162.09</v>
      </c>
      <c r="N445" s="18" t="n">
        <f aca="false">IF(M445="","",ROUND(L445-M445,2))</f>
        <v>125.94</v>
      </c>
      <c r="O445" s="19" t="n">
        <f aca="false">IF(M445="","",N445/M445)</f>
        <v>0.108373705995233</v>
      </c>
      <c r="P445" s="14" t="str">
        <f aca="false">IF(M445="","SEM TARIFA NO CONTRATO",IF(N445&gt;Resumo!$B$4,"ACIMA DA TABELA",IF(N445&lt;-Resumo!$B$4,"ABAIXO DA TABELA","OK")))</f>
        <v>ACIMA DA TABELA</v>
      </c>
    </row>
    <row r="446" customFormat="false" ht="15" hidden="false" customHeight="false" outlineLevel="0" collapsed="false">
      <c r="A446" s="14" t="s">
        <v>943</v>
      </c>
      <c r="B446" s="14" t="s">
        <v>944</v>
      </c>
      <c r="C446" s="14" t="s">
        <v>22</v>
      </c>
      <c r="D446" s="15" t="n">
        <v>46208</v>
      </c>
      <c r="E446" s="14" t="n">
        <f aca="false">MONTH(D446)</f>
        <v>7</v>
      </c>
      <c r="F446" s="14" t="s">
        <v>49</v>
      </c>
      <c r="G446" s="14" t="s">
        <v>50</v>
      </c>
      <c r="H446" s="14" t="s">
        <v>51</v>
      </c>
      <c r="I446" s="16" t="n">
        <v>738.2</v>
      </c>
      <c r="J446" s="17" t="n">
        <v>4.8951</v>
      </c>
      <c r="K446" s="18" t="n">
        <v>416.75</v>
      </c>
      <c r="L446" s="18" t="n">
        <v>3956.85</v>
      </c>
      <c r="M446" s="18" t="n">
        <f aca="false">IF(J446="","",ROUND(MAX(I446*J446,K446),2))</f>
        <v>3613.56</v>
      </c>
      <c r="N446" s="18" t="n">
        <f aca="false">IF(M446="","",ROUND(L446-M446,2))</f>
        <v>343.29</v>
      </c>
      <c r="O446" s="19" t="n">
        <f aca="false">IF(M446="","",N446/M446)</f>
        <v>0.0950004981237339</v>
      </c>
      <c r="P446" s="14" t="str">
        <f aca="false">IF(M446="","SEM TARIFA NO CONTRATO",IF(N446&gt;Resumo!$B$4,"ACIMA DA TABELA",IF(N446&lt;-Resumo!$B$4,"ABAIXO DA TABELA","OK")))</f>
        <v>ACIMA DA TABELA</v>
      </c>
    </row>
    <row r="447" customFormat="false" ht="15" hidden="false" customHeight="false" outlineLevel="0" collapsed="false">
      <c r="A447" s="14" t="s">
        <v>945</v>
      </c>
      <c r="B447" s="14" t="s">
        <v>946</v>
      </c>
      <c r="C447" s="14" t="s">
        <v>24</v>
      </c>
      <c r="D447" s="15" t="n">
        <v>46208</v>
      </c>
      <c r="E447" s="14" t="n">
        <f aca="false">MONTH(D447)</f>
        <v>7</v>
      </c>
      <c r="F447" s="14" t="s">
        <v>61</v>
      </c>
      <c r="G447" s="14" t="s">
        <v>50</v>
      </c>
      <c r="H447" s="14" t="s">
        <v>62</v>
      </c>
      <c r="I447" s="16" t="n">
        <v>1165.1</v>
      </c>
      <c r="J447" s="17" t="n">
        <v>1.05</v>
      </c>
      <c r="K447" s="18" t="n">
        <v>126</v>
      </c>
      <c r="L447" s="18" t="n">
        <v>1223.48</v>
      </c>
      <c r="M447" s="18" t="n">
        <f aca="false">IF(J447="","",ROUND(MAX(I447*J447,K447),2))</f>
        <v>1223.36</v>
      </c>
      <c r="N447" s="18" t="n">
        <f aca="false">IF(M447="","",ROUND(L447-M447,2))</f>
        <v>0.12</v>
      </c>
      <c r="O447" s="19" t="n">
        <f aca="false">IF(M447="","",N447/M447)</f>
        <v>9.80905048391316E-005</v>
      </c>
      <c r="P447" s="14" t="str">
        <f aca="false">IF(M447="","SEM TARIFA NO CONTRATO",IF(N447&gt;Resumo!$B$4,"ACIMA DA TABELA",IF(N447&lt;-Resumo!$B$4,"ABAIXO DA TABELA","OK")))</f>
        <v>OK</v>
      </c>
    </row>
    <row r="448" customFormat="false" ht="15" hidden="false" customHeight="false" outlineLevel="0" collapsed="false">
      <c r="A448" s="14" t="s">
        <v>947</v>
      </c>
      <c r="B448" s="14" t="s">
        <v>948</v>
      </c>
      <c r="C448" s="14" t="s">
        <v>21</v>
      </c>
      <c r="D448" s="15" t="n">
        <v>46209</v>
      </c>
      <c r="E448" s="14" t="n">
        <f aca="false">MONTH(D448)</f>
        <v>7</v>
      </c>
      <c r="F448" s="14" t="s">
        <v>73</v>
      </c>
      <c r="G448" s="14" t="s">
        <v>50</v>
      </c>
      <c r="H448" s="14" t="s">
        <v>74</v>
      </c>
      <c r="I448" s="16" t="n">
        <v>374.7</v>
      </c>
      <c r="J448" s="17" t="n">
        <v>1.3213</v>
      </c>
      <c r="K448" s="18" t="n">
        <v>151.07</v>
      </c>
      <c r="L448" s="18" t="n">
        <v>495.02</v>
      </c>
      <c r="M448" s="18" t="n">
        <f aca="false">IF(J448="","",ROUND(MAX(I448*J448,K448),2))</f>
        <v>495.09</v>
      </c>
      <c r="N448" s="18" t="n">
        <f aca="false">IF(M448="","",ROUND(L448-M448,2))</f>
        <v>-0.07</v>
      </c>
      <c r="O448" s="19" t="n">
        <f aca="false">IF(M448="","",N448/M448)</f>
        <v>-0.000141388434426064</v>
      </c>
      <c r="P448" s="14" t="str">
        <f aca="false">IF(M448="","SEM TARIFA NO CONTRATO",IF(N448&gt;Resumo!$B$4,"ACIMA DA TABELA",IF(N448&lt;-Resumo!$B$4,"ABAIXO DA TABELA","OK")))</f>
        <v>OK</v>
      </c>
    </row>
    <row r="449" customFormat="false" ht="15" hidden="false" customHeight="false" outlineLevel="0" collapsed="false">
      <c r="A449" s="14" t="s">
        <v>949</v>
      </c>
      <c r="B449" s="14" t="s">
        <v>950</v>
      </c>
      <c r="C449" s="14" t="s">
        <v>21</v>
      </c>
      <c r="D449" s="15" t="n">
        <v>46209</v>
      </c>
      <c r="E449" s="14" t="n">
        <f aca="false">MONTH(D449)</f>
        <v>7</v>
      </c>
      <c r="F449" s="14" t="s">
        <v>118</v>
      </c>
      <c r="G449" s="14" t="s">
        <v>50</v>
      </c>
      <c r="H449" s="14" t="s">
        <v>119</v>
      </c>
      <c r="I449" s="16" t="n">
        <v>534.2</v>
      </c>
      <c r="J449" s="17" t="n">
        <v>3.8531</v>
      </c>
      <c r="K449" s="18" t="n">
        <v>340.96</v>
      </c>
      <c r="L449" s="18" t="n">
        <v>2420.15</v>
      </c>
      <c r="M449" s="18" t="n">
        <f aca="false">IF(J449="","",ROUND(MAX(I449*J449,K449),2))</f>
        <v>2058.33</v>
      </c>
      <c r="N449" s="18" t="n">
        <f aca="false">IF(M449="","",ROUND(L449-M449,2))</f>
        <v>361.82</v>
      </c>
      <c r="O449" s="19" t="n">
        <f aca="false">IF(M449="","",N449/M449)</f>
        <v>0.175783280620697</v>
      </c>
      <c r="P449" s="14" t="str">
        <f aca="false">IF(M449="","SEM TARIFA NO CONTRATO",IF(N449&gt;Resumo!$B$4,"ACIMA DA TABELA",IF(N449&lt;-Resumo!$B$4,"ABAIXO DA TABELA","OK")))</f>
        <v>ACIMA DA TABELA</v>
      </c>
    </row>
    <row r="450" customFormat="false" ht="15" hidden="false" customHeight="false" outlineLevel="0" collapsed="false">
      <c r="A450" s="14" t="s">
        <v>951</v>
      </c>
      <c r="B450" s="14" t="s">
        <v>952</v>
      </c>
      <c r="C450" s="14" t="s">
        <v>22</v>
      </c>
      <c r="D450" s="15" t="n">
        <v>46209</v>
      </c>
      <c r="E450" s="14" t="n">
        <f aca="false">MONTH(D450)</f>
        <v>7</v>
      </c>
      <c r="F450" s="14" t="s">
        <v>49</v>
      </c>
      <c r="G450" s="14" t="s">
        <v>50</v>
      </c>
      <c r="H450" s="14" t="s">
        <v>51</v>
      </c>
      <c r="I450" s="16" t="n">
        <v>1533.3</v>
      </c>
      <c r="J450" s="17" t="n">
        <v>4.8951</v>
      </c>
      <c r="K450" s="18" t="n">
        <v>416.75</v>
      </c>
      <c r="L450" s="18" t="n">
        <v>8218.69</v>
      </c>
      <c r="M450" s="18" t="n">
        <f aca="false">IF(J450="","",ROUND(MAX(I450*J450,K450),2))</f>
        <v>7505.66</v>
      </c>
      <c r="N450" s="18" t="n">
        <f aca="false">IF(M450="","",ROUND(L450-M450,2))</f>
        <v>713.03</v>
      </c>
      <c r="O450" s="19" t="n">
        <f aca="false">IF(M450="","",N450/M450)</f>
        <v>0.0949989741075402</v>
      </c>
      <c r="P450" s="14" t="str">
        <f aca="false">IF(M450="","SEM TARIFA NO CONTRATO",IF(N450&gt;Resumo!$B$4,"ACIMA DA TABELA",IF(N450&lt;-Resumo!$B$4,"ABAIXO DA TABELA","OK")))</f>
        <v>ACIMA DA TABELA</v>
      </c>
    </row>
    <row r="451" customFormat="false" ht="15" hidden="false" customHeight="false" outlineLevel="0" collapsed="false">
      <c r="A451" s="14" t="s">
        <v>953</v>
      </c>
      <c r="B451" s="14" t="s">
        <v>954</v>
      </c>
      <c r="C451" s="14" t="s">
        <v>24</v>
      </c>
      <c r="D451" s="15" t="n">
        <v>46211</v>
      </c>
      <c r="E451" s="14" t="n">
        <f aca="false">MONTH(D451)</f>
        <v>7</v>
      </c>
      <c r="F451" s="14" t="s">
        <v>67</v>
      </c>
      <c r="G451" s="14" t="s">
        <v>50</v>
      </c>
      <c r="H451" s="14" t="s">
        <v>68</v>
      </c>
      <c r="I451" s="16" t="n">
        <v>216.1</v>
      </c>
      <c r="J451" s="17" t="n">
        <v>2.058</v>
      </c>
      <c r="K451" s="18" t="n">
        <v>201.6</v>
      </c>
      <c r="L451" s="18" t="n">
        <v>444.51</v>
      </c>
      <c r="M451" s="18" t="n">
        <f aca="false">IF(J451="","",ROUND(MAX(I451*J451,K451),2))</f>
        <v>444.73</v>
      </c>
      <c r="N451" s="18" t="n">
        <f aca="false">IF(M451="","",ROUND(L451-M451,2))</f>
        <v>-0.22</v>
      </c>
      <c r="O451" s="19" t="n">
        <f aca="false">IF(M451="","",N451/M451)</f>
        <v>-0.00049468216670789</v>
      </c>
      <c r="P451" s="14" t="str">
        <f aca="false">IF(M451="","SEM TARIFA NO CONTRATO",IF(N451&gt;Resumo!$B$4,"ACIMA DA TABELA",IF(N451&lt;-Resumo!$B$4,"ABAIXO DA TABELA","OK")))</f>
        <v>OK</v>
      </c>
    </row>
    <row r="452" customFormat="false" ht="15" hidden="false" customHeight="false" outlineLevel="0" collapsed="false">
      <c r="A452" s="14" t="s">
        <v>955</v>
      </c>
      <c r="B452" s="14" t="s">
        <v>956</v>
      </c>
      <c r="C452" s="14" t="s">
        <v>21</v>
      </c>
      <c r="D452" s="15" t="n">
        <v>46211</v>
      </c>
      <c r="E452" s="14" t="n">
        <f aca="false">MONTH(D452)</f>
        <v>7</v>
      </c>
      <c r="F452" s="14" t="s">
        <v>61</v>
      </c>
      <c r="G452" s="14" t="s">
        <v>50</v>
      </c>
      <c r="H452" s="14" t="s">
        <v>62</v>
      </c>
      <c r="I452" s="16" t="n">
        <v>170.8</v>
      </c>
      <c r="J452" s="17" t="n">
        <v>1.155</v>
      </c>
      <c r="K452" s="18" t="n">
        <v>138.6</v>
      </c>
      <c r="L452" s="18" t="n">
        <v>197.12</v>
      </c>
      <c r="M452" s="18" t="n">
        <f aca="false">IF(J452="","",ROUND(MAX(I452*J452,K452),2))</f>
        <v>197.27</v>
      </c>
      <c r="N452" s="18" t="n">
        <f aca="false">IF(M452="","",ROUND(L452-M452,2))</f>
        <v>-0.15</v>
      </c>
      <c r="O452" s="19" t="n">
        <f aca="false">IF(M452="","",N452/M452)</f>
        <v>-0.000760379175748974</v>
      </c>
      <c r="P452" s="14" t="str">
        <f aca="false">IF(M452="","SEM TARIFA NO CONTRATO",IF(N452&gt;Resumo!$B$4,"ACIMA DA TABELA",IF(N452&lt;-Resumo!$B$4,"ABAIXO DA TABELA","OK")))</f>
        <v>OK</v>
      </c>
    </row>
    <row r="453" customFormat="false" ht="15" hidden="false" customHeight="false" outlineLevel="0" collapsed="false">
      <c r="A453" s="14" t="s">
        <v>957</v>
      </c>
      <c r="B453" s="14" t="s">
        <v>958</v>
      </c>
      <c r="C453" s="14" t="s">
        <v>25</v>
      </c>
      <c r="D453" s="15" t="n">
        <v>46214</v>
      </c>
      <c r="E453" s="14" t="n">
        <f aca="false">MONTH(D453)</f>
        <v>7</v>
      </c>
      <c r="F453" s="14" t="s">
        <v>44</v>
      </c>
      <c r="G453" s="14" t="s">
        <v>45</v>
      </c>
      <c r="H453" s="14" t="s">
        <v>46</v>
      </c>
      <c r="I453" s="16" t="n">
        <v>404.2</v>
      </c>
      <c r="J453" s="17" t="n">
        <v>0.8539</v>
      </c>
      <c r="K453" s="18" t="n">
        <v>108.93</v>
      </c>
      <c r="L453" s="18" t="n">
        <v>344.84</v>
      </c>
      <c r="M453" s="18" t="n">
        <f aca="false">IF(J453="","",ROUND(MAX(I453*J453,K453),2))</f>
        <v>345.15</v>
      </c>
      <c r="N453" s="18" t="n">
        <f aca="false">IF(M453="","",ROUND(L453-M453,2))</f>
        <v>-0.31</v>
      </c>
      <c r="O453" s="19" t="n">
        <f aca="false">IF(M453="","",N453/M453)</f>
        <v>-0.000898160220194119</v>
      </c>
      <c r="P453" s="14" t="str">
        <f aca="false">IF(M453="","SEM TARIFA NO CONTRATO",IF(N453&gt;Resumo!$B$4,"ACIMA DA TABELA",IF(N453&lt;-Resumo!$B$4,"ABAIXO DA TABELA","OK")))</f>
        <v>OK</v>
      </c>
    </row>
    <row r="454" customFormat="false" ht="15" hidden="false" customHeight="false" outlineLevel="0" collapsed="false">
      <c r="A454" s="14" t="s">
        <v>959</v>
      </c>
      <c r="B454" s="14" t="s">
        <v>960</v>
      </c>
      <c r="C454" s="14" t="s">
        <v>23</v>
      </c>
      <c r="D454" s="15" t="n">
        <v>46214</v>
      </c>
      <c r="E454" s="14" t="n">
        <f aca="false">MONTH(D454)</f>
        <v>7</v>
      </c>
      <c r="F454" s="14" t="s">
        <v>44</v>
      </c>
      <c r="G454" s="14" t="s">
        <v>45</v>
      </c>
      <c r="H454" s="14" t="s">
        <v>46</v>
      </c>
      <c r="I454" s="16" t="n">
        <v>966.7</v>
      </c>
      <c r="J454" s="17" t="n">
        <v>0.8269</v>
      </c>
      <c r="K454" s="18" t="n">
        <v>105.48</v>
      </c>
      <c r="L454" s="18" t="n">
        <v>799</v>
      </c>
      <c r="M454" s="18" t="n">
        <f aca="false">IF(J454="","",ROUND(MAX(I454*J454,K454),2))</f>
        <v>799.36</v>
      </c>
      <c r="N454" s="18" t="n">
        <f aca="false">IF(M454="","",ROUND(L454-M454,2))</f>
        <v>-0.36</v>
      </c>
      <c r="O454" s="19" t="n">
        <f aca="false">IF(M454="","",N454/M454)</f>
        <v>-0.000450360288230584</v>
      </c>
      <c r="P454" s="14" t="str">
        <f aca="false">IF(M454="","SEM TARIFA NO CONTRATO",IF(N454&gt;Resumo!$B$4,"ACIMA DA TABELA",IF(N454&lt;-Resumo!$B$4,"ABAIXO DA TABELA","OK")))</f>
        <v>OK</v>
      </c>
    </row>
    <row r="455" customFormat="false" ht="15" hidden="false" customHeight="false" outlineLevel="0" collapsed="false">
      <c r="A455" s="14" t="s">
        <v>961</v>
      </c>
      <c r="B455" s="14" t="s">
        <v>962</v>
      </c>
      <c r="C455" s="14" t="s">
        <v>21</v>
      </c>
      <c r="D455" s="15" t="n">
        <v>46214</v>
      </c>
      <c r="E455" s="14" t="n">
        <f aca="false">MONTH(D455)</f>
        <v>7</v>
      </c>
      <c r="F455" s="14" t="s">
        <v>88</v>
      </c>
      <c r="G455" s="14" t="s">
        <v>50</v>
      </c>
      <c r="H455" s="14" t="s">
        <v>89</v>
      </c>
      <c r="I455" s="16" t="n">
        <v>222.2</v>
      </c>
      <c r="J455" s="17" t="n">
        <v>1.9496</v>
      </c>
      <c r="K455" s="18" t="n">
        <v>198.2</v>
      </c>
      <c r="L455" s="18" t="n">
        <v>466.21</v>
      </c>
      <c r="M455" s="18" t="n">
        <f aca="false">IF(J455="","",ROUND(MAX(I455*J455,K455),2))</f>
        <v>433.2</v>
      </c>
      <c r="N455" s="18" t="n">
        <f aca="false">IF(M455="","",ROUND(L455-M455,2))</f>
        <v>33.01</v>
      </c>
      <c r="O455" s="19" t="n">
        <f aca="false">IF(M455="","",N455/M455)</f>
        <v>0.0762003693444137</v>
      </c>
      <c r="P455" s="14" t="str">
        <f aca="false">IF(M455="","SEM TARIFA NO CONTRATO",IF(N455&gt;Resumo!$B$4,"ACIMA DA TABELA",IF(N455&lt;-Resumo!$B$4,"ABAIXO DA TABELA","OK")))</f>
        <v>ACIMA DA TABELA</v>
      </c>
    </row>
    <row r="456" customFormat="false" ht="15" hidden="false" customHeight="false" outlineLevel="0" collapsed="false">
      <c r="A456" s="14" t="s">
        <v>963</v>
      </c>
      <c r="B456" s="14" t="s">
        <v>964</v>
      </c>
      <c r="C456" s="14" t="s">
        <v>23</v>
      </c>
      <c r="D456" s="15" t="n">
        <v>46215</v>
      </c>
      <c r="E456" s="14" t="n">
        <f aca="false">MONTH(D456)</f>
        <v>7</v>
      </c>
      <c r="F456" s="14" t="s">
        <v>88</v>
      </c>
      <c r="G456" s="14" t="s">
        <v>50</v>
      </c>
      <c r="H456" s="14" t="s">
        <v>89</v>
      </c>
      <c r="I456" s="16" t="n">
        <v>281.5</v>
      </c>
      <c r="J456" s="17" t="n">
        <v>1.6306</v>
      </c>
      <c r="K456" s="18" t="n">
        <v>165.76</v>
      </c>
      <c r="L456" s="18" t="n">
        <v>458.67</v>
      </c>
      <c r="M456" s="18" t="n">
        <f aca="false">IF(J456="","",ROUND(MAX(I456*J456,K456),2))</f>
        <v>459.01</v>
      </c>
      <c r="N456" s="18" t="n">
        <f aca="false">IF(M456="","",ROUND(L456-M456,2))</f>
        <v>-0.34</v>
      </c>
      <c r="O456" s="19" t="n">
        <f aca="false">IF(M456="","",N456/M456)</f>
        <v>-0.000740724602949827</v>
      </c>
      <c r="P456" s="14" t="str">
        <f aca="false">IF(M456="","SEM TARIFA NO CONTRATO",IF(N456&gt;Resumo!$B$4,"ACIMA DA TABELA",IF(N456&lt;-Resumo!$B$4,"ABAIXO DA TABELA","OK")))</f>
        <v>OK</v>
      </c>
    </row>
    <row r="457" customFormat="false" ht="15" hidden="false" customHeight="false" outlineLevel="0" collapsed="false">
      <c r="A457" s="14" t="s">
        <v>965</v>
      </c>
      <c r="B457" s="14" t="s">
        <v>966</v>
      </c>
      <c r="C457" s="14" t="s">
        <v>22</v>
      </c>
      <c r="D457" s="15" t="n">
        <v>46215</v>
      </c>
      <c r="E457" s="14" t="n">
        <f aca="false">MONTH(D457)</f>
        <v>7</v>
      </c>
      <c r="F457" s="14" t="s">
        <v>56</v>
      </c>
      <c r="G457" s="14" t="s">
        <v>50</v>
      </c>
      <c r="H457" s="14" t="s">
        <v>45</v>
      </c>
      <c r="I457" s="16" t="n">
        <v>408.4</v>
      </c>
      <c r="J457" s="17" t="n">
        <v>0.9437</v>
      </c>
      <c r="K457" s="18" t="n">
        <v>120.39</v>
      </c>
      <c r="L457" s="18" t="n">
        <v>422.02</v>
      </c>
      <c r="M457" s="18" t="n">
        <f aca="false">IF(J457="","",ROUND(MAX(I457*J457,K457),2))</f>
        <v>385.41</v>
      </c>
      <c r="N457" s="18" t="n">
        <f aca="false">IF(M457="","",ROUND(L457-M457,2))</f>
        <v>36.61</v>
      </c>
      <c r="O457" s="19" t="n">
        <f aca="false">IF(M457="","",N457/M457)</f>
        <v>0.0949897511740744</v>
      </c>
      <c r="P457" s="14" t="str">
        <f aca="false">IF(M457="","SEM TARIFA NO CONTRATO",IF(N457&gt;Resumo!$B$4,"ACIMA DA TABELA",IF(N457&lt;-Resumo!$B$4,"ABAIXO DA TABELA","OK")))</f>
        <v>ACIMA DA TABELA</v>
      </c>
    </row>
    <row r="458" customFormat="false" ht="15" hidden="false" customHeight="false" outlineLevel="0" collapsed="false">
      <c r="A458" s="14" t="s">
        <v>967</v>
      </c>
      <c r="B458" s="14" t="s">
        <v>968</v>
      </c>
      <c r="C458" s="14" t="s">
        <v>25</v>
      </c>
      <c r="D458" s="15" t="n">
        <v>46215</v>
      </c>
      <c r="E458" s="14" t="n">
        <f aca="false">MONTH(D458)</f>
        <v>7</v>
      </c>
      <c r="F458" s="14" t="s">
        <v>88</v>
      </c>
      <c r="G458" s="14" t="s">
        <v>50</v>
      </c>
      <c r="H458" s="14" t="s">
        <v>89</v>
      </c>
      <c r="I458" s="16" t="n">
        <v>151.1</v>
      </c>
      <c r="J458" s="17" t="n">
        <v>1.6838</v>
      </c>
      <c r="K458" s="18" t="n">
        <v>171.17</v>
      </c>
      <c r="L458" s="18" t="n">
        <v>254.71</v>
      </c>
      <c r="M458" s="18" t="n">
        <f aca="false">IF(J458="","",ROUND(MAX(I458*J458,K458),2))</f>
        <v>254.42</v>
      </c>
      <c r="N458" s="18" t="n">
        <f aca="false">IF(M458="","",ROUND(L458-M458,2))</f>
        <v>0.29</v>
      </c>
      <c r="O458" s="19" t="n">
        <f aca="false">IF(M458="","",N458/M458)</f>
        <v>0.00113984749626602</v>
      </c>
      <c r="P458" s="14" t="str">
        <f aca="false">IF(M458="","SEM TARIFA NO CONTRATO",IF(N458&gt;Resumo!$B$4,"ACIMA DA TABELA",IF(N458&lt;-Resumo!$B$4,"ABAIXO DA TABELA","OK")))</f>
        <v>OK</v>
      </c>
    </row>
    <row r="459" customFormat="false" ht="15" hidden="false" customHeight="false" outlineLevel="0" collapsed="false">
      <c r="A459" s="14" t="s">
        <v>969</v>
      </c>
      <c r="B459" s="14" t="s">
        <v>970</v>
      </c>
      <c r="C459" s="14" t="s">
        <v>24</v>
      </c>
      <c r="D459" s="15" t="n">
        <v>46216</v>
      </c>
      <c r="E459" s="14" t="n">
        <f aca="false">MONTH(D459)</f>
        <v>7</v>
      </c>
      <c r="F459" s="14" t="s">
        <v>44</v>
      </c>
      <c r="G459" s="14" t="s">
        <v>45</v>
      </c>
      <c r="H459" s="14" t="s">
        <v>46</v>
      </c>
      <c r="I459" s="16" t="n">
        <v>405.4</v>
      </c>
      <c r="J459" s="17" t="n">
        <v>0.8988</v>
      </c>
      <c r="K459" s="18" t="n">
        <v>114.66</v>
      </c>
      <c r="L459" s="18" t="n">
        <v>364.34</v>
      </c>
      <c r="M459" s="18" t="n">
        <f aca="false">IF(J459="","",ROUND(MAX(I459*J459,K459),2))</f>
        <v>364.37</v>
      </c>
      <c r="N459" s="18" t="n">
        <f aca="false">IF(M459="","",ROUND(L459-M459,2))</f>
        <v>-0.03</v>
      </c>
      <c r="O459" s="19" t="n">
        <f aca="false">IF(M459="","",N459/M459)</f>
        <v>-8.23338913741526E-005</v>
      </c>
      <c r="P459" s="14" t="str">
        <f aca="false">IF(M459="","SEM TARIFA NO CONTRATO",IF(N459&gt;Resumo!$B$4,"ACIMA DA TABELA",IF(N459&lt;-Resumo!$B$4,"ABAIXO DA TABELA","OK")))</f>
        <v>OK</v>
      </c>
    </row>
    <row r="460" customFormat="false" ht="15" hidden="false" customHeight="false" outlineLevel="0" collapsed="false">
      <c r="A460" s="14" t="s">
        <v>971</v>
      </c>
      <c r="B460" s="14" t="s">
        <v>972</v>
      </c>
      <c r="C460" s="14" t="s">
        <v>21</v>
      </c>
      <c r="D460" s="15" t="n">
        <v>46216</v>
      </c>
      <c r="E460" s="14" t="n">
        <f aca="false">MONTH(D460)</f>
        <v>7</v>
      </c>
      <c r="F460" s="14" t="s">
        <v>73</v>
      </c>
      <c r="G460" s="14" t="s">
        <v>50</v>
      </c>
      <c r="H460" s="14" t="s">
        <v>74</v>
      </c>
      <c r="I460" s="16" t="n">
        <v>404.1</v>
      </c>
      <c r="J460" s="17" t="n">
        <v>1.3213</v>
      </c>
      <c r="K460" s="18" t="n">
        <v>151.07</v>
      </c>
      <c r="L460" s="18" t="n">
        <v>533.7</v>
      </c>
      <c r="M460" s="18" t="n">
        <f aca="false">IF(J460="","",ROUND(MAX(I460*J460,K460),2))</f>
        <v>533.94</v>
      </c>
      <c r="N460" s="18" t="n">
        <f aca="false">IF(M460="","",ROUND(L460-M460,2))</f>
        <v>-0.24</v>
      </c>
      <c r="O460" s="19" t="n">
        <f aca="false">IF(M460="","",N460/M460)</f>
        <v>-0.000449488706596247</v>
      </c>
      <c r="P460" s="14" t="str">
        <f aca="false">IF(M460="","SEM TARIFA NO CONTRATO",IF(N460&gt;Resumo!$B$4,"ACIMA DA TABELA",IF(N460&lt;-Resumo!$B$4,"ABAIXO DA TABELA","OK")))</f>
        <v>OK</v>
      </c>
    </row>
    <row r="461" customFormat="false" ht="15" hidden="false" customHeight="false" outlineLevel="0" collapsed="false">
      <c r="A461" s="14" t="s">
        <v>973</v>
      </c>
      <c r="B461" s="14" t="s">
        <v>974</v>
      </c>
      <c r="C461" s="14" t="s">
        <v>21</v>
      </c>
      <c r="D461" s="15" t="n">
        <v>46216</v>
      </c>
      <c r="E461" s="14" t="n">
        <f aca="false">MONTH(D461)</f>
        <v>7</v>
      </c>
      <c r="F461" s="14" t="s">
        <v>73</v>
      </c>
      <c r="G461" s="14" t="s">
        <v>50</v>
      </c>
      <c r="H461" s="14" t="s">
        <v>74</v>
      </c>
      <c r="I461" s="16" t="n">
        <v>534.5</v>
      </c>
      <c r="J461" s="17" t="n">
        <v>1.3213</v>
      </c>
      <c r="K461" s="18" t="n">
        <v>151.07</v>
      </c>
      <c r="L461" s="18" t="n">
        <v>705.97</v>
      </c>
      <c r="M461" s="18" t="n">
        <f aca="false">IF(J461="","",ROUND(MAX(I461*J461,K461),2))</f>
        <v>706.23</v>
      </c>
      <c r="N461" s="18" t="n">
        <f aca="false">IF(M461="","",ROUND(L461-M461,2))</f>
        <v>-0.26</v>
      </c>
      <c r="O461" s="19" t="n">
        <f aca="false">IF(M461="","",N461/M461)</f>
        <v>-0.00036815201846424</v>
      </c>
      <c r="P461" s="14" t="str">
        <f aca="false">IF(M461="","SEM TARIFA NO CONTRATO",IF(N461&gt;Resumo!$B$4,"ACIMA DA TABELA",IF(N461&lt;-Resumo!$B$4,"ABAIXO DA TABELA","OK")))</f>
        <v>OK</v>
      </c>
    </row>
    <row r="462" customFormat="false" ht="15" hidden="false" customHeight="false" outlineLevel="0" collapsed="false">
      <c r="A462" s="14" t="s">
        <v>975</v>
      </c>
      <c r="B462" s="14" t="s">
        <v>976</v>
      </c>
      <c r="C462" s="14" t="s">
        <v>24</v>
      </c>
      <c r="D462" s="15" t="n">
        <v>46217</v>
      </c>
      <c r="E462" s="14" t="n">
        <f aca="false">MONTH(D462)</f>
        <v>7</v>
      </c>
      <c r="F462" s="14" t="s">
        <v>56</v>
      </c>
      <c r="G462" s="14" t="s">
        <v>50</v>
      </c>
      <c r="H462" s="14" t="s">
        <v>45</v>
      </c>
      <c r="I462" s="16" t="n">
        <v>715</v>
      </c>
      <c r="J462" s="17" t="n">
        <v>0.8988</v>
      </c>
      <c r="K462" s="18" t="n">
        <v>114.66</v>
      </c>
      <c r="L462" s="18" t="n">
        <v>642.5</v>
      </c>
      <c r="M462" s="18" t="n">
        <f aca="false">IF(J462="","",ROUND(MAX(I462*J462,K462),2))</f>
        <v>642.64</v>
      </c>
      <c r="N462" s="18" t="n">
        <f aca="false">IF(M462="","",ROUND(L462-M462,2))</f>
        <v>-0.14</v>
      </c>
      <c r="O462" s="19" t="n">
        <f aca="false">IF(M462="","",N462/M462)</f>
        <v>-0.000217851363127101</v>
      </c>
      <c r="P462" s="14" t="str">
        <f aca="false">IF(M462="","SEM TARIFA NO CONTRATO",IF(N462&gt;Resumo!$B$4,"ACIMA DA TABELA",IF(N462&lt;-Resumo!$B$4,"ABAIXO DA TABELA","OK")))</f>
        <v>OK</v>
      </c>
    </row>
    <row r="463" customFormat="false" ht="15" hidden="false" customHeight="false" outlineLevel="0" collapsed="false">
      <c r="A463" s="14" t="s">
        <v>977</v>
      </c>
      <c r="B463" s="14" t="s">
        <v>978</v>
      </c>
      <c r="C463" s="14" t="s">
        <v>24</v>
      </c>
      <c r="D463" s="15" t="n">
        <v>46217</v>
      </c>
      <c r="E463" s="14" t="n">
        <f aca="false">MONTH(D463)</f>
        <v>7</v>
      </c>
      <c r="F463" s="14" t="s">
        <v>44</v>
      </c>
      <c r="G463" s="14" t="s">
        <v>45</v>
      </c>
      <c r="H463" s="14" t="s">
        <v>46</v>
      </c>
      <c r="I463" s="16" t="n">
        <v>636</v>
      </c>
      <c r="J463" s="17" t="n">
        <v>0.8988</v>
      </c>
      <c r="K463" s="18" t="n">
        <v>114.66</v>
      </c>
      <c r="L463" s="18" t="n">
        <v>620.74</v>
      </c>
      <c r="M463" s="18" t="n">
        <f aca="false">IF(J463="","",ROUND(MAX(I463*J463,K463),2))</f>
        <v>571.64</v>
      </c>
      <c r="N463" s="18" t="n">
        <f aca="false">IF(M463="","",ROUND(L463-M463,2))</f>
        <v>49.1</v>
      </c>
      <c r="O463" s="19" t="n">
        <f aca="false">IF(M463="","",N463/M463)</f>
        <v>0.0858932195087818</v>
      </c>
      <c r="P463" s="14" t="str">
        <f aca="false">IF(M463="","SEM TARIFA NO CONTRATO",IF(N463&gt;Resumo!$B$4,"ACIMA DA TABELA",IF(N463&lt;-Resumo!$B$4,"ABAIXO DA TABELA","OK")))</f>
        <v>ACIMA DA TABELA</v>
      </c>
    </row>
    <row r="464" customFormat="false" ht="15" hidden="false" customHeight="false" outlineLevel="0" collapsed="false">
      <c r="A464" s="14" t="s">
        <v>979</v>
      </c>
      <c r="B464" s="14" t="s">
        <v>980</v>
      </c>
      <c r="C464" s="14" t="s">
        <v>21</v>
      </c>
      <c r="D464" s="15" t="n">
        <v>46217</v>
      </c>
      <c r="E464" s="14" t="n">
        <f aca="false">MONTH(D464)</f>
        <v>7</v>
      </c>
      <c r="F464" s="14" t="s">
        <v>49</v>
      </c>
      <c r="G464" s="14" t="s">
        <v>50</v>
      </c>
      <c r="H464" s="14" t="s">
        <v>51</v>
      </c>
      <c r="I464" s="16" t="n">
        <v>1584.8</v>
      </c>
      <c r="J464" s="17" t="n">
        <v>5.1282</v>
      </c>
      <c r="K464" s="18" t="n">
        <v>436.59</v>
      </c>
      <c r="L464" s="18" t="n">
        <v>8127.2</v>
      </c>
      <c r="M464" s="18" t="n">
        <f aca="false">IF(J464="","",ROUND(MAX(I464*J464,K464),2))</f>
        <v>8127.17</v>
      </c>
      <c r="N464" s="18" t="n">
        <f aca="false">IF(M464="","",ROUND(L464-M464,2))</f>
        <v>0.03</v>
      </c>
      <c r="O464" s="19" t="n">
        <f aca="false">IF(M464="","",N464/M464)</f>
        <v>3.69132182543247E-006</v>
      </c>
      <c r="P464" s="14" t="str">
        <f aca="false">IF(M464="","SEM TARIFA NO CONTRATO",IF(N464&gt;Resumo!$B$4,"ACIMA DA TABELA",IF(N464&lt;-Resumo!$B$4,"ABAIXO DA TABELA","OK")))</f>
        <v>OK</v>
      </c>
    </row>
    <row r="465" customFormat="false" ht="15" hidden="false" customHeight="false" outlineLevel="0" collapsed="false">
      <c r="A465" s="14" t="s">
        <v>981</v>
      </c>
      <c r="B465" s="14" t="s">
        <v>982</v>
      </c>
      <c r="C465" s="14" t="s">
        <v>24</v>
      </c>
      <c r="D465" s="15" t="n">
        <v>46217</v>
      </c>
      <c r="E465" s="14" t="n">
        <f aca="false">MONTH(D465)</f>
        <v>7</v>
      </c>
      <c r="F465" s="14" t="s">
        <v>56</v>
      </c>
      <c r="G465" s="14" t="s">
        <v>50</v>
      </c>
      <c r="H465" s="14" t="s">
        <v>45</v>
      </c>
      <c r="I465" s="16" t="n">
        <v>226.4</v>
      </c>
      <c r="J465" s="17" t="n">
        <v>0.8988</v>
      </c>
      <c r="K465" s="18" t="n">
        <v>114.66</v>
      </c>
      <c r="L465" s="18" t="n">
        <v>203.65</v>
      </c>
      <c r="M465" s="18" t="n">
        <f aca="false">IF(J465="","",ROUND(MAX(I465*J465,K465),2))</f>
        <v>203.49</v>
      </c>
      <c r="N465" s="18" t="n">
        <f aca="false">IF(M465="","",ROUND(L465-M465,2))</f>
        <v>0.16</v>
      </c>
      <c r="O465" s="19" t="n">
        <f aca="false">IF(M465="","",N465/M465)</f>
        <v>0.000786279424050322</v>
      </c>
      <c r="P465" s="14" t="str">
        <f aca="false">IF(M465="","SEM TARIFA NO CONTRATO",IF(N465&gt;Resumo!$B$4,"ACIMA DA TABELA",IF(N465&lt;-Resumo!$B$4,"ABAIXO DA TABELA","OK")))</f>
        <v>OK</v>
      </c>
    </row>
    <row r="466" customFormat="false" ht="15" hidden="false" customHeight="false" outlineLevel="0" collapsed="false">
      <c r="A466" s="14" t="s">
        <v>983</v>
      </c>
      <c r="B466" s="14" t="s">
        <v>984</v>
      </c>
      <c r="C466" s="14" t="s">
        <v>24</v>
      </c>
      <c r="D466" s="15" t="n">
        <v>46218</v>
      </c>
      <c r="E466" s="14" t="n">
        <f aca="false">MONTH(D466)</f>
        <v>7</v>
      </c>
      <c r="F466" s="14" t="s">
        <v>56</v>
      </c>
      <c r="G466" s="14" t="s">
        <v>50</v>
      </c>
      <c r="H466" s="14" t="s">
        <v>45</v>
      </c>
      <c r="I466" s="16" t="n">
        <v>151.2</v>
      </c>
      <c r="J466" s="17" t="n">
        <v>0.8988</v>
      </c>
      <c r="K466" s="18" t="n">
        <v>114.66</v>
      </c>
      <c r="L466" s="18" t="n">
        <v>136.22</v>
      </c>
      <c r="M466" s="18" t="n">
        <f aca="false">IF(J466="","",ROUND(MAX(I466*J466,K466),2))</f>
        <v>135.9</v>
      </c>
      <c r="N466" s="18" t="n">
        <f aca="false">IF(M466="","",ROUND(L466-M466,2))</f>
        <v>0.32</v>
      </c>
      <c r="O466" s="19" t="n">
        <f aca="false">IF(M466="","",N466/M466)</f>
        <v>0.00235467255334805</v>
      </c>
      <c r="P466" s="14" t="str">
        <f aca="false">IF(M466="","SEM TARIFA NO CONTRATO",IF(N466&gt;Resumo!$B$4,"ACIMA DA TABELA",IF(N466&lt;-Resumo!$B$4,"ABAIXO DA TABELA","OK")))</f>
        <v>OK</v>
      </c>
    </row>
    <row r="467" customFormat="false" ht="15" hidden="false" customHeight="false" outlineLevel="0" collapsed="false">
      <c r="A467" s="14" t="s">
        <v>985</v>
      </c>
      <c r="B467" s="14" t="s">
        <v>986</v>
      </c>
      <c r="C467" s="14" t="s">
        <v>25</v>
      </c>
      <c r="D467" s="15" t="n">
        <v>46218</v>
      </c>
      <c r="E467" s="14" t="n">
        <f aca="false">MONTH(D467)</f>
        <v>7</v>
      </c>
      <c r="F467" s="14" t="s">
        <v>79</v>
      </c>
      <c r="G467" s="14" t="s">
        <v>50</v>
      </c>
      <c r="H467" s="14" t="s">
        <v>46</v>
      </c>
      <c r="I467" s="16" t="n">
        <v>683.5</v>
      </c>
      <c r="J467" s="17" t="n">
        <v>0.3591</v>
      </c>
      <c r="K467" s="18" t="n">
        <v>71.82</v>
      </c>
      <c r="L467" s="18" t="n">
        <v>245.81</v>
      </c>
      <c r="M467" s="18" t="n">
        <f aca="false">IF(J467="","",ROUND(MAX(I467*J467,K467),2))</f>
        <v>245.44</v>
      </c>
      <c r="N467" s="18" t="n">
        <f aca="false">IF(M467="","",ROUND(L467-M467,2))</f>
        <v>0.37</v>
      </c>
      <c r="O467" s="19" t="n">
        <f aca="false">IF(M467="","",N467/M467)</f>
        <v>0.00150749674054759</v>
      </c>
      <c r="P467" s="14" t="str">
        <f aca="false">IF(M467="","SEM TARIFA NO CONTRATO",IF(N467&gt;Resumo!$B$4,"ACIMA DA TABELA",IF(N467&lt;-Resumo!$B$4,"ABAIXO DA TABELA","OK")))</f>
        <v>OK</v>
      </c>
    </row>
    <row r="468" customFormat="false" ht="15" hidden="false" customHeight="false" outlineLevel="0" collapsed="false">
      <c r="A468" s="14" t="s">
        <v>987</v>
      </c>
      <c r="B468" s="14" t="s">
        <v>988</v>
      </c>
      <c r="C468" s="14" t="s">
        <v>23</v>
      </c>
      <c r="D468" s="15" t="n">
        <v>46220</v>
      </c>
      <c r="E468" s="14" t="n">
        <f aca="false">MONTH(D468)</f>
        <v>7</v>
      </c>
      <c r="F468" s="14" t="s">
        <v>49</v>
      </c>
      <c r="G468" s="14" t="s">
        <v>50</v>
      </c>
      <c r="H468" s="14" t="s">
        <v>51</v>
      </c>
      <c r="I468" s="16" t="n">
        <v>649.9</v>
      </c>
      <c r="J468" s="17" t="n">
        <v>4.289</v>
      </c>
      <c r="K468" s="18" t="n">
        <v>365.15</v>
      </c>
      <c r="L468" s="18" t="n">
        <v>2787.79</v>
      </c>
      <c r="M468" s="18" t="n">
        <f aca="false">IF(J468="","",ROUND(MAX(I468*J468,K468),2))</f>
        <v>2787.42</v>
      </c>
      <c r="N468" s="18" t="n">
        <f aca="false">IF(M468="","",ROUND(L468-M468,2))</f>
        <v>0.37</v>
      </c>
      <c r="O468" s="19" t="n">
        <f aca="false">IF(M468="","",N468/M468)</f>
        <v>0.000132739235565505</v>
      </c>
      <c r="P468" s="14" t="str">
        <f aca="false">IF(M468="","SEM TARIFA NO CONTRATO",IF(N468&gt;Resumo!$B$4,"ACIMA DA TABELA",IF(N468&lt;-Resumo!$B$4,"ABAIXO DA TABELA","OK")))</f>
        <v>OK</v>
      </c>
    </row>
    <row r="469" customFormat="false" ht="15" hidden="false" customHeight="false" outlineLevel="0" collapsed="false">
      <c r="A469" s="14" t="s">
        <v>989</v>
      </c>
      <c r="B469" s="14" t="s">
        <v>990</v>
      </c>
      <c r="C469" s="14" t="s">
        <v>24</v>
      </c>
      <c r="D469" s="15" t="n">
        <v>46220</v>
      </c>
      <c r="E469" s="14" t="n">
        <f aca="false">MONTH(D469)</f>
        <v>7</v>
      </c>
      <c r="F469" s="14" t="s">
        <v>73</v>
      </c>
      <c r="G469" s="14" t="s">
        <v>50</v>
      </c>
      <c r="H469" s="14" t="s">
        <v>74</v>
      </c>
      <c r="I469" s="16" t="n">
        <v>2353.9</v>
      </c>
      <c r="J469" s="17" t="n">
        <v>1.2012</v>
      </c>
      <c r="K469" s="18" t="n">
        <v>137.34</v>
      </c>
      <c r="L469" s="18" t="n">
        <v>2827.11</v>
      </c>
      <c r="M469" s="18" t="n">
        <f aca="false">IF(J469="","",ROUND(MAX(I469*J469,K469),2))</f>
        <v>2827.5</v>
      </c>
      <c r="N469" s="18" t="n">
        <f aca="false">IF(M469="","",ROUND(L469-M469,2))</f>
        <v>-0.39</v>
      </c>
      <c r="O469" s="19" t="n">
        <f aca="false">IF(M469="","",N469/M469)</f>
        <v>-0.000137931034482759</v>
      </c>
      <c r="P469" s="14" t="str">
        <f aca="false">IF(M469="","SEM TARIFA NO CONTRATO",IF(N469&gt;Resumo!$B$4,"ACIMA DA TABELA",IF(N469&lt;-Resumo!$B$4,"ABAIXO DA TABELA","OK")))</f>
        <v>OK</v>
      </c>
    </row>
    <row r="470" customFormat="false" ht="15" hidden="false" customHeight="false" outlineLevel="0" collapsed="false">
      <c r="A470" s="14" t="s">
        <v>991</v>
      </c>
      <c r="B470" s="14" t="s">
        <v>992</v>
      </c>
      <c r="C470" s="14" t="s">
        <v>24</v>
      </c>
      <c r="D470" s="15" t="n">
        <v>46221</v>
      </c>
      <c r="E470" s="14" t="n">
        <f aca="false">MONTH(D470)</f>
        <v>7</v>
      </c>
      <c r="F470" s="14" t="s">
        <v>67</v>
      </c>
      <c r="G470" s="14" t="s">
        <v>50</v>
      </c>
      <c r="H470" s="14" t="s">
        <v>68</v>
      </c>
      <c r="I470" s="16" t="n">
        <v>342.5</v>
      </c>
      <c r="J470" s="17" t="n">
        <v>2.058</v>
      </c>
      <c r="K470" s="18" t="n">
        <v>201.6</v>
      </c>
      <c r="L470" s="18" t="n">
        <v>704.68</v>
      </c>
      <c r="M470" s="18" t="n">
        <f aca="false">IF(J470="","",ROUND(MAX(I470*J470,K470),2))</f>
        <v>704.87</v>
      </c>
      <c r="N470" s="18" t="n">
        <f aca="false">IF(M470="","",ROUND(L470-M470,2))</f>
        <v>-0.19</v>
      </c>
      <c r="O470" s="19" t="n">
        <f aca="false">IF(M470="","",N470/M470)</f>
        <v>-0.000269553250954077</v>
      </c>
      <c r="P470" s="14" t="str">
        <f aca="false">IF(M470="","SEM TARIFA NO CONTRATO",IF(N470&gt;Resumo!$B$4,"ACIMA DA TABELA",IF(N470&lt;-Resumo!$B$4,"ABAIXO DA TABELA","OK")))</f>
        <v>OK</v>
      </c>
    </row>
    <row r="471" customFormat="false" ht="15" hidden="false" customHeight="false" outlineLevel="0" collapsed="false">
      <c r="A471" s="14" t="s">
        <v>993</v>
      </c>
      <c r="B471" s="14" t="s">
        <v>994</v>
      </c>
      <c r="C471" s="14" t="s">
        <v>23</v>
      </c>
      <c r="D471" s="15" t="n">
        <v>46221</v>
      </c>
      <c r="E471" s="14" t="n">
        <f aca="false">MONTH(D471)</f>
        <v>7</v>
      </c>
      <c r="F471" s="14" t="s">
        <v>79</v>
      </c>
      <c r="G471" s="14" t="s">
        <v>50</v>
      </c>
      <c r="H471" s="14" t="s">
        <v>46</v>
      </c>
      <c r="I471" s="16" t="n">
        <v>527.1</v>
      </c>
      <c r="J471" s="17" t="n">
        <v>0.3478</v>
      </c>
      <c r="K471" s="18" t="n">
        <v>69.55</v>
      </c>
      <c r="L471" s="18" t="n">
        <v>182.96</v>
      </c>
      <c r="M471" s="18" t="n">
        <f aca="false">IF(J471="","",ROUND(MAX(I471*J471,K471),2))</f>
        <v>183.33</v>
      </c>
      <c r="N471" s="18" t="n">
        <f aca="false">IF(M471="","",ROUND(L471-M471,2))</f>
        <v>-0.37</v>
      </c>
      <c r="O471" s="19" t="n">
        <f aca="false">IF(M471="","",N471/M471)</f>
        <v>-0.00201821851306387</v>
      </c>
      <c r="P471" s="14" t="str">
        <f aca="false">IF(M471="","SEM TARIFA NO CONTRATO",IF(N471&gt;Resumo!$B$4,"ACIMA DA TABELA",IF(N471&lt;-Resumo!$B$4,"ABAIXO DA TABELA","OK")))</f>
        <v>OK</v>
      </c>
    </row>
    <row r="472" customFormat="false" ht="15" hidden="false" customHeight="false" outlineLevel="0" collapsed="false">
      <c r="A472" s="14" t="s">
        <v>995</v>
      </c>
      <c r="B472" s="14" t="s">
        <v>996</v>
      </c>
      <c r="C472" s="14" t="s">
        <v>24</v>
      </c>
      <c r="D472" s="15" t="n">
        <v>46222</v>
      </c>
      <c r="E472" s="14" t="n">
        <f aca="false">MONTH(D472)</f>
        <v>7</v>
      </c>
      <c r="F472" s="14" t="s">
        <v>56</v>
      </c>
      <c r="G472" s="14" t="s">
        <v>50</v>
      </c>
      <c r="H472" s="14" t="s">
        <v>45</v>
      </c>
      <c r="I472" s="16" t="n">
        <v>2214.6</v>
      </c>
      <c r="J472" s="17" t="n">
        <v>0.8988</v>
      </c>
      <c r="K472" s="18" t="n">
        <v>114.66</v>
      </c>
      <c r="L472" s="18" t="n">
        <v>1990.64</v>
      </c>
      <c r="M472" s="18" t="n">
        <f aca="false">IF(J472="","",ROUND(MAX(I472*J472,K472),2))</f>
        <v>1990.48</v>
      </c>
      <c r="N472" s="18" t="n">
        <f aca="false">IF(M472="","",ROUND(L472-M472,2))</f>
        <v>0.16</v>
      </c>
      <c r="O472" s="19" t="n">
        <f aca="false">IF(M472="","",N472/M472)</f>
        <v>8.03826212772799E-005</v>
      </c>
      <c r="P472" s="14" t="str">
        <f aca="false">IF(M472="","SEM TARIFA NO CONTRATO",IF(N472&gt;Resumo!$B$4,"ACIMA DA TABELA",IF(N472&lt;-Resumo!$B$4,"ABAIXO DA TABELA","OK")))</f>
        <v>OK</v>
      </c>
    </row>
    <row r="473" customFormat="false" ht="15" hidden="false" customHeight="false" outlineLevel="0" collapsed="false">
      <c r="A473" s="14" t="s">
        <v>997</v>
      </c>
      <c r="B473" s="14" t="s">
        <v>998</v>
      </c>
      <c r="C473" s="14" t="s">
        <v>21</v>
      </c>
      <c r="D473" s="15" t="n">
        <v>46222</v>
      </c>
      <c r="E473" s="14" t="n">
        <f aca="false">MONTH(D473)</f>
        <v>7</v>
      </c>
      <c r="F473" s="14" t="s">
        <v>88</v>
      </c>
      <c r="G473" s="14" t="s">
        <v>50</v>
      </c>
      <c r="H473" s="14" t="s">
        <v>89</v>
      </c>
      <c r="I473" s="16" t="n">
        <v>359</v>
      </c>
      <c r="J473" s="17" t="n">
        <v>1.9496</v>
      </c>
      <c r="K473" s="18" t="n">
        <v>198.2</v>
      </c>
      <c r="L473" s="18" t="n">
        <v>699.51</v>
      </c>
      <c r="M473" s="18" t="n">
        <f aca="false">IF(J473="","",ROUND(MAX(I473*J473,K473),2))</f>
        <v>699.91</v>
      </c>
      <c r="N473" s="18" t="n">
        <f aca="false">IF(M473="","",ROUND(L473-M473,2))</f>
        <v>-0.4</v>
      </c>
      <c r="O473" s="19" t="n">
        <f aca="false">IF(M473="","",N473/M473)</f>
        <v>-0.000571502050263605</v>
      </c>
      <c r="P473" s="14" t="str">
        <f aca="false">IF(M473="","SEM TARIFA NO CONTRATO",IF(N473&gt;Resumo!$B$4,"ACIMA DA TABELA",IF(N473&lt;-Resumo!$B$4,"ABAIXO DA TABELA","OK")))</f>
        <v>OK</v>
      </c>
    </row>
    <row r="474" customFormat="false" ht="15" hidden="false" customHeight="false" outlineLevel="0" collapsed="false">
      <c r="A474" s="14" t="s">
        <v>999</v>
      </c>
      <c r="B474" s="14" t="s">
        <v>1000</v>
      </c>
      <c r="C474" s="14" t="s">
        <v>25</v>
      </c>
      <c r="D474" s="15" t="n">
        <v>46223</v>
      </c>
      <c r="E474" s="14" t="n">
        <f aca="false">MONTH(D474)</f>
        <v>7</v>
      </c>
      <c r="F474" s="14" t="s">
        <v>56</v>
      </c>
      <c r="G474" s="14" t="s">
        <v>50</v>
      </c>
      <c r="H474" s="14" t="s">
        <v>45</v>
      </c>
      <c r="I474" s="16" t="n">
        <v>605.5</v>
      </c>
      <c r="J474" s="17" t="n">
        <v>0.8539</v>
      </c>
      <c r="K474" s="18" t="n">
        <v>108.93</v>
      </c>
      <c r="L474" s="18" t="n">
        <v>517.31</v>
      </c>
      <c r="M474" s="18" t="n">
        <f aca="false">IF(J474="","",ROUND(MAX(I474*J474,K474),2))</f>
        <v>517.04</v>
      </c>
      <c r="N474" s="18" t="n">
        <f aca="false">IF(M474="","",ROUND(L474-M474,2))</f>
        <v>0.27</v>
      </c>
      <c r="O474" s="19" t="n">
        <f aca="false">IF(M474="","",N474/M474)</f>
        <v>0.00052220331115581</v>
      </c>
      <c r="P474" s="14" t="str">
        <f aca="false">IF(M474="","SEM TARIFA NO CONTRATO",IF(N474&gt;Resumo!$B$4,"ACIMA DA TABELA",IF(N474&lt;-Resumo!$B$4,"ABAIXO DA TABELA","OK")))</f>
        <v>OK</v>
      </c>
    </row>
    <row r="475" customFormat="false" ht="15" hidden="false" customHeight="false" outlineLevel="0" collapsed="false">
      <c r="A475" s="14" t="s">
        <v>1001</v>
      </c>
      <c r="B475" s="14" t="s">
        <v>1002</v>
      </c>
      <c r="C475" s="14" t="s">
        <v>21</v>
      </c>
      <c r="D475" s="15" t="n">
        <v>46223</v>
      </c>
      <c r="E475" s="14" t="n">
        <f aca="false">MONTH(D475)</f>
        <v>7</v>
      </c>
      <c r="F475" s="14" t="s">
        <v>73</v>
      </c>
      <c r="G475" s="14" t="s">
        <v>50</v>
      </c>
      <c r="H475" s="14" t="s">
        <v>74</v>
      </c>
      <c r="I475" s="16" t="n">
        <v>207.5</v>
      </c>
      <c r="J475" s="17" t="n">
        <v>1.3213</v>
      </c>
      <c r="K475" s="18" t="n">
        <v>151.07</v>
      </c>
      <c r="L475" s="18" t="n">
        <v>274.01</v>
      </c>
      <c r="M475" s="18" t="n">
        <f aca="false">IF(J475="","",ROUND(MAX(I475*J475,K475),2))</f>
        <v>274.17</v>
      </c>
      <c r="N475" s="18" t="n">
        <f aca="false">IF(M475="","",ROUND(L475-M475,2))</f>
        <v>-0.16</v>
      </c>
      <c r="O475" s="19" t="n">
        <f aca="false">IF(M475="","",N475/M475)</f>
        <v>-0.000583579530947952</v>
      </c>
      <c r="P475" s="14" t="str">
        <f aca="false">IF(M475="","SEM TARIFA NO CONTRATO",IF(N475&gt;Resumo!$B$4,"ACIMA DA TABELA",IF(N475&lt;-Resumo!$B$4,"ABAIXO DA TABELA","OK")))</f>
        <v>OK</v>
      </c>
    </row>
    <row r="476" customFormat="false" ht="15" hidden="false" customHeight="false" outlineLevel="0" collapsed="false">
      <c r="A476" s="14" t="s">
        <v>1003</v>
      </c>
      <c r="B476" s="14" t="s">
        <v>1004</v>
      </c>
      <c r="C476" s="14" t="s">
        <v>25</v>
      </c>
      <c r="D476" s="15" t="n">
        <v>46224</v>
      </c>
      <c r="E476" s="14" t="n">
        <f aca="false">MONTH(D476)</f>
        <v>7</v>
      </c>
      <c r="F476" s="14" t="s">
        <v>79</v>
      </c>
      <c r="G476" s="14" t="s">
        <v>50</v>
      </c>
      <c r="H476" s="14" t="s">
        <v>46</v>
      </c>
      <c r="I476" s="16" t="n">
        <v>634.2</v>
      </c>
      <c r="J476" s="17" t="n">
        <v>0.3591</v>
      </c>
      <c r="K476" s="18" t="n">
        <v>71.82</v>
      </c>
      <c r="L476" s="18" t="n">
        <v>227.51</v>
      </c>
      <c r="M476" s="18" t="n">
        <f aca="false">IF(J476="","",ROUND(MAX(I476*J476,K476),2))</f>
        <v>227.74</v>
      </c>
      <c r="N476" s="18" t="n">
        <f aca="false">IF(M476="","",ROUND(L476-M476,2))</f>
        <v>-0.23</v>
      </c>
      <c r="O476" s="19" t="n">
        <f aca="false">IF(M476="","",N476/M476)</f>
        <v>-0.00100992359708439</v>
      </c>
      <c r="P476" s="14" t="str">
        <f aca="false">IF(M476="","SEM TARIFA NO CONTRATO",IF(N476&gt;Resumo!$B$4,"ACIMA DA TABELA",IF(N476&lt;-Resumo!$B$4,"ABAIXO DA TABELA","OK")))</f>
        <v>OK</v>
      </c>
    </row>
    <row r="477" customFormat="false" ht="15" hidden="false" customHeight="false" outlineLevel="0" collapsed="false">
      <c r="A477" s="14" t="s">
        <v>1005</v>
      </c>
      <c r="B477" s="14" t="s">
        <v>1006</v>
      </c>
      <c r="C477" s="14" t="s">
        <v>24</v>
      </c>
      <c r="D477" s="15" t="n">
        <v>46224</v>
      </c>
      <c r="E477" s="14" t="n">
        <f aca="false">MONTH(D477)</f>
        <v>7</v>
      </c>
      <c r="F477" s="14" t="s">
        <v>73</v>
      </c>
      <c r="G477" s="14" t="s">
        <v>50</v>
      </c>
      <c r="H477" s="14" t="s">
        <v>74</v>
      </c>
      <c r="I477" s="16" t="n">
        <v>1589.3</v>
      </c>
      <c r="J477" s="17" t="n">
        <v>1.2012</v>
      </c>
      <c r="K477" s="18" t="n">
        <v>137.34</v>
      </c>
      <c r="L477" s="18" t="n">
        <v>1908.92</v>
      </c>
      <c r="M477" s="18" t="n">
        <f aca="false">IF(J477="","",ROUND(MAX(I477*J477,K477),2))</f>
        <v>1909.07</v>
      </c>
      <c r="N477" s="18" t="n">
        <f aca="false">IF(M477="","",ROUND(L477-M477,2))</f>
        <v>-0.15</v>
      </c>
      <c r="O477" s="19" t="n">
        <f aca="false">IF(M477="","",N477/M477)</f>
        <v>-7.85722891250714E-005</v>
      </c>
      <c r="P477" s="14" t="str">
        <f aca="false">IF(M477="","SEM TARIFA NO CONTRATO",IF(N477&gt;Resumo!$B$4,"ACIMA DA TABELA",IF(N477&lt;-Resumo!$B$4,"ABAIXO DA TABELA","OK")))</f>
        <v>OK</v>
      </c>
    </row>
    <row r="478" customFormat="false" ht="15" hidden="false" customHeight="false" outlineLevel="0" collapsed="false">
      <c r="A478" s="14" t="s">
        <v>1007</v>
      </c>
      <c r="B478" s="14" t="s">
        <v>1008</v>
      </c>
      <c r="C478" s="14" t="s">
        <v>24</v>
      </c>
      <c r="D478" s="15" t="n">
        <v>46224</v>
      </c>
      <c r="E478" s="14" t="n">
        <f aca="false">MONTH(D478)</f>
        <v>7</v>
      </c>
      <c r="F478" s="14" t="s">
        <v>44</v>
      </c>
      <c r="G478" s="14" t="s">
        <v>45</v>
      </c>
      <c r="H478" s="14" t="s">
        <v>46</v>
      </c>
      <c r="I478" s="16" t="n">
        <v>559.9</v>
      </c>
      <c r="J478" s="17" t="n">
        <v>0.8988</v>
      </c>
      <c r="K478" s="18" t="n">
        <v>114.66</v>
      </c>
      <c r="L478" s="18" t="n">
        <v>503.18</v>
      </c>
      <c r="M478" s="18" t="n">
        <f aca="false">IF(J478="","",ROUND(MAX(I478*J478,K478),2))</f>
        <v>503.24</v>
      </c>
      <c r="N478" s="18" t="n">
        <f aca="false">IF(M478="","",ROUND(L478-M478,2))</f>
        <v>-0.06</v>
      </c>
      <c r="O478" s="19" t="n">
        <f aca="false">IF(M478="","",N478/M478)</f>
        <v>-0.000119227406406486</v>
      </c>
      <c r="P478" s="14" t="str">
        <f aca="false">IF(M478="","SEM TARIFA NO CONTRATO",IF(N478&gt;Resumo!$B$4,"ACIMA DA TABELA",IF(N478&lt;-Resumo!$B$4,"ABAIXO DA TABELA","OK")))</f>
        <v>OK</v>
      </c>
    </row>
    <row r="479" customFormat="false" ht="15" hidden="false" customHeight="false" outlineLevel="0" collapsed="false">
      <c r="A479" s="14" t="s">
        <v>1009</v>
      </c>
      <c r="B479" s="14" t="s">
        <v>1010</v>
      </c>
      <c r="C479" s="14" t="s">
        <v>21</v>
      </c>
      <c r="D479" s="15" t="n">
        <v>46226</v>
      </c>
      <c r="E479" s="14" t="n">
        <f aca="false">MONTH(D479)</f>
        <v>7</v>
      </c>
      <c r="F479" s="14" t="s">
        <v>88</v>
      </c>
      <c r="G479" s="14" t="s">
        <v>50</v>
      </c>
      <c r="H479" s="14" t="s">
        <v>89</v>
      </c>
      <c r="I479" s="16" t="n">
        <v>183.1</v>
      </c>
      <c r="J479" s="17" t="n">
        <v>1.9496</v>
      </c>
      <c r="K479" s="18" t="n">
        <v>198.2</v>
      </c>
      <c r="L479" s="18" t="n">
        <v>356.58</v>
      </c>
      <c r="M479" s="18" t="n">
        <f aca="false">IF(J479="","",ROUND(MAX(I479*J479,K479),2))</f>
        <v>356.97</v>
      </c>
      <c r="N479" s="18" t="n">
        <f aca="false">IF(M479="","",ROUND(L479-M479,2))</f>
        <v>-0.39</v>
      </c>
      <c r="O479" s="19" t="n">
        <f aca="false">IF(M479="","",N479/M479)</f>
        <v>-0.00109252878393142</v>
      </c>
      <c r="P479" s="14" t="str">
        <f aca="false">IF(M479="","SEM TARIFA NO CONTRATO",IF(N479&gt;Resumo!$B$4,"ACIMA DA TABELA",IF(N479&lt;-Resumo!$B$4,"ABAIXO DA TABELA","OK")))</f>
        <v>OK</v>
      </c>
    </row>
    <row r="480" customFormat="false" ht="15" hidden="false" customHeight="false" outlineLevel="0" collapsed="false">
      <c r="A480" s="14" t="s">
        <v>1011</v>
      </c>
      <c r="B480" s="14" t="s">
        <v>1012</v>
      </c>
      <c r="C480" s="14" t="s">
        <v>22</v>
      </c>
      <c r="D480" s="15" t="n">
        <v>46226</v>
      </c>
      <c r="E480" s="14" t="n">
        <f aca="false">MONTH(D480)</f>
        <v>7</v>
      </c>
      <c r="F480" s="14" t="s">
        <v>49</v>
      </c>
      <c r="G480" s="14" t="s">
        <v>50</v>
      </c>
      <c r="H480" s="14" t="s">
        <v>51</v>
      </c>
      <c r="I480" s="16" t="n">
        <v>625.5</v>
      </c>
      <c r="J480" s="17" t="n">
        <v>4.8951</v>
      </c>
      <c r="K480" s="18" t="n">
        <v>416.75</v>
      </c>
      <c r="L480" s="18" t="n">
        <v>3352.76</v>
      </c>
      <c r="M480" s="18" t="n">
        <f aca="false">IF(J480="","",ROUND(MAX(I480*J480,K480),2))</f>
        <v>3061.89</v>
      </c>
      <c r="N480" s="18" t="n">
        <f aca="false">IF(M480="","",ROUND(L480-M480,2))</f>
        <v>290.87</v>
      </c>
      <c r="O480" s="19" t="n">
        <f aca="false">IF(M480="","",N480/M480)</f>
        <v>0.0949968810114015</v>
      </c>
      <c r="P480" s="14" t="str">
        <f aca="false">IF(M480="","SEM TARIFA NO CONTRATO",IF(N480&gt;Resumo!$B$4,"ACIMA DA TABELA",IF(N480&lt;-Resumo!$B$4,"ABAIXO DA TABELA","OK")))</f>
        <v>ACIMA DA TABELA</v>
      </c>
    </row>
    <row r="481" customFormat="false" ht="15" hidden="false" customHeight="false" outlineLevel="0" collapsed="false">
      <c r="A481" s="14" t="s">
        <v>1013</v>
      </c>
      <c r="B481" s="14" t="s">
        <v>1014</v>
      </c>
      <c r="C481" s="14" t="s">
        <v>21</v>
      </c>
      <c r="D481" s="15" t="n">
        <v>46226</v>
      </c>
      <c r="E481" s="14" t="n">
        <f aca="false">MONTH(D481)</f>
        <v>7</v>
      </c>
      <c r="F481" s="14" t="s">
        <v>49</v>
      </c>
      <c r="G481" s="14" t="s">
        <v>50</v>
      </c>
      <c r="H481" s="14" t="s">
        <v>51</v>
      </c>
      <c r="I481" s="16" t="n">
        <v>561.9</v>
      </c>
      <c r="J481" s="17" t="n">
        <v>5.1282</v>
      </c>
      <c r="K481" s="18" t="n">
        <v>436.59</v>
      </c>
      <c r="L481" s="18" t="n">
        <v>2881.94</v>
      </c>
      <c r="M481" s="18" t="n">
        <f aca="false">IF(J481="","",ROUND(MAX(I481*J481,K481),2))</f>
        <v>2881.54</v>
      </c>
      <c r="N481" s="18" t="n">
        <f aca="false">IF(M481="","",ROUND(L481-M481,2))</f>
        <v>0.4</v>
      </c>
      <c r="O481" s="19" t="n">
        <f aca="false">IF(M481="","",N481/M481)</f>
        <v>0.000138814661604559</v>
      </c>
      <c r="P481" s="14" t="str">
        <f aca="false">IF(M481="","SEM TARIFA NO CONTRATO",IF(N481&gt;Resumo!$B$4,"ACIMA DA TABELA",IF(N481&lt;-Resumo!$B$4,"ABAIXO DA TABELA","OK")))</f>
        <v>OK</v>
      </c>
    </row>
    <row r="482" customFormat="false" ht="15" hidden="false" customHeight="false" outlineLevel="0" collapsed="false">
      <c r="A482" s="14" t="s">
        <v>1015</v>
      </c>
      <c r="B482" s="14" t="s">
        <v>1016</v>
      </c>
      <c r="C482" s="14" t="s">
        <v>25</v>
      </c>
      <c r="D482" s="15" t="n">
        <v>46227</v>
      </c>
      <c r="E482" s="14" t="n">
        <f aca="false">MONTH(D482)</f>
        <v>7</v>
      </c>
      <c r="F482" s="14" t="s">
        <v>88</v>
      </c>
      <c r="G482" s="14" t="s">
        <v>50</v>
      </c>
      <c r="H482" s="14" t="s">
        <v>89</v>
      </c>
      <c r="I482" s="16" t="n">
        <v>163.6</v>
      </c>
      <c r="J482" s="17" t="n">
        <v>1.6838</v>
      </c>
      <c r="K482" s="18" t="n">
        <v>171.17</v>
      </c>
      <c r="L482" s="18" t="n">
        <v>275.67</v>
      </c>
      <c r="M482" s="18" t="n">
        <f aca="false">IF(J482="","",ROUND(MAX(I482*J482,K482),2))</f>
        <v>275.47</v>
      </c>
      <c r="N482" s="18" t="n">
        <f aca="false">IF(M482="","",ROUND(L482-M482,2))</f>
        <v>0.2</v>
      </c>
      <c r="O482" s="19" t="n">
        <f aca="false">IF(M482="","",N482/M482)</f>
        <v>0.000726031872799216</v>
      </c>
      <c r="P482" s="14" t="str">
        <f aca="false">IF(M482="","SEM TARIFA NO CONTRATO",IF(N482&gt;Resumo!$B$4,"ACIMA DA TABELA",IF(N482&lt;-Resumo!$B$4,"ABAIXO DA TABELA","OK")))</f>
        <v>OK</v>
      </c>
    </row>
    <row r="483" customFormat="false" ht="15" hidden="false" customHeight="false" outlineLevel="0" collapsed="false">
      <c r="A483" s="14" t="s">
        <v>1017</v>
      </c>
      <c r="B483" s="14" t="s">
        <v>1018</v>
      </c>
      <c r="C483" s="14" t="s">
        <v>22</v>
      </c>
      <c r="D483" s="15" t="n">
        <v>46227</v>
      </c>
      <c r="E483" s="14" t="n">
        <f aca="false">MONTH(D483)</f>
        <v>7</v>
      </c>
      <c r="F483" s="14" t="s">
        <v>118</v>
      </c>
      <c r="G483" s="14" t="s">
        <v>50</v>
      </c>
      <c r="H483" s="14" t="s">
        <v>119</v>
      </c>
      <c r="I483" s="16" t="n">
        <v>487</v>
      </c>
      <c r="J483" s="17" t="n">
        <v>3.6779</v>
      </c>
      <c r="K483" s="18" t="n">
        <v>325.46</v>
      </c>
      <c r="L483" s="18" t="n">
        <v>1961.3</v>
      </c>
      <c r="M483" s="18" t="n">
        <f aca="false">IF(J483="","",ROUND(MAX(I483*J483,K483),2))</f>
        <v>1791.14</v>
      </c>
      <c r="N483" s="18" t="n">
        <f aca="false">IF(M483="","",ROUND(L483-M483,2))</f>
        <v>170.16</v>
      </c>
      <c r="O483" s="19" t="n">
        <f aca="false">IF(M483="","",N483/M483)</f>
        <v>0.0950009491162053</v>
      </c>
      <c r="P483" s="14" t="str">
        <f aca="false">IF(M483="","SEM TARIFA NO CONTRATO",IF(N483&gt;Resumo!$B$4,"ACIMA DA TABELA",IF(N483&lt;-Resumo!$B$4,"ABAIXO DA TABELA","OK")))</f>
        <v>ACIMA DA TABELA</v>
      </c>
    </row>
    <row r="484" customFormat="false" ht="15" hidden="false" customHeight="false" outlineLevel="0" collapsed="false">
      <c r="A484" s="14" t="s">
        <v>1019</v>
      </c>
      <c r="B484" s="14" t="s">
        <v>1020</v>
      </c>
      <c r="C484" s="14" t="s">
        <v>24</v>
      </c>
      <c r="D484" s="15" t="n">
        <v>46227</v>
      </c>
      <c r="E484" s="14" t="n">
        <f aca="false">MONTH(D484)</f>
        <v>7</v>
      </c>
      <c r="F484" s="14" t="s">
        <v>79</v>
      </c>
      <c r="G484" s="14" t="s">
        <v>50</v>
      </c>
      <c r="H484" s="14" t="s">
        <v>46</v>
      </c>
      <c r="I484" s="16" t="n">
        <v>2205.8</v>
      </c>
      <c r="J484" s="17" t="n">
        <v>0.378</v>
      </c>
      <c r="K484" s="18" t="n">
        <v>75.6</v>
      </c>
      <c r="L484" s="18" t="n">
        <v>833.45</v>
      </c>
      <c r="M484" s="18" t="n">
        <f aca="false">IF(J484="","",ROUND(MAX(I484*J484,K484),2))</f>
        <v>833.79</v>
      </c>
      <c r="N484" s="18" t="n">
        <f aca="false">IF(M484="","",ROUND(L484-M484,2))</f>
        <v>-0.34</v>
      </c>
      <c r="O484" s="19" t="n">
        <f aca="false">IF(M484="","",N484/M484)</f>
        <v>-0.000407776538456926</v>
      </c>
      <c r="P484" s="14" t="str">
        <f aca="false">IF(M484="","SEM TARIFA NO CONTRATO",IF(N484&gt;Resumo!$B$4,"ACIMA DA TABELA",IF(N484&lt;-Resumo!$B$4,"ABAIXO DA TABELA","OK")))</f>
        <v>OK</v>
      </c>
    </row>
    <row r="485" customFormat="false" ht="15" hidden="false" customHeight="false" outlineLevel="0" collapsed="false">
      <c r="A485" s="14" t="s">
        <v>1021</v>
      </c>
      <c r="B485" s="14" t="s">
        <v>1022</v>
      </c>
      <c r="C485" s="14" t="s">
        <v>22</v>
      </c>
      <c r="D485" s="15" t="n">
        <v>46228</v>
      </c>
      <c r="E485" s="14" t="n">
        <f aca="false">MONTH(D485)</f>
        <v>7</v>
      </c>
      <c r="F485" s="14" t="s">
        <v>67</v>
      </c>
      <c r="G485" s="14" t="s">
        <v>50</v>
      </c>
      <c r="H485" s="14" t="s">
        <v>68</v>
      </c>
      <c r="I485" s="16" t="n">
        <v>312.8</v>
      </c>
      <c r="J485" s="17" t="n">
        <v>2.1609</v>
      </c>
      <c r="K485" s="18" t="n">
        <v>211.68</v>
      </c>
      <c r="L485" s="18" t="n">
        <v>676.28</v>
      </c>
      <c r="M485" s="18" t="n">
        <f aca="false">IF(J485="","",ROUND(MAX(I485*J485,K485),2))</f>
        <v>675.93</v>
      </c>
      <c r="N485" s="18" t="n">
        <f aca="false">IF(M485="","",ROUND(L485-M485,2))</f>
        <v>0.35</v>
      </c>
      <c r="O485" s="19" t="n">
        <f aca="false">IF(M485="","",N485/M485)</f>
        <v>0.000517805098161052</v>
      </c>
      <c r="P485" s="14" t="str">
        <f aca="false">IF(M485="","SEM TARIFA NO CONTRATO",IF(N485&gt;Resumo!$B$4,"ACIMA DA TABELA",IF(N485&lt;-Resumo!$B$4,"ABAIXO DA TABELA","OK")))</f>
        <v>OK</v>
      </c>
    </row>
    <row r="486" customFormat="false" ht="15" hidden="false" customHeight="false" outlineLevel="0" collapsed="false">
      <c r="A486" s="14" t="s">
        <v>1023</v>
      </c>
      <c r="B486" s="14" t="s">
        <v>1024</v>
      </c>
      <c r="C486" s="14" t="s">
        <v>25</v>
      </c>
      <c r="D486" s="15" t="n">
        <v>46228</v>
      </c>
      <c r="E486" s="14" t="n">
        <f aca="false">MONTH(D486)</f>
        <v>7</v>
      </c>
      <c r="F486" s="14" t="s">
        <v>79</v>
      </c>
      <c r="G486" s="14" t="s">
        <v>50</v>
      </c>
      <c r="H486" s="14" t="s">
        <v>46</v>
      </c>
      <c r="I486" s="16" t="n">
        <v>142</v>
      </c>
      <c r="J486" s="17" t="n">
        <v>0.3591</v>
      </c>
      <c r="K486" s="18" t="n">
        <v>71.82</v>
      </c>
      <c r="L486" s="18" t="n">
        <v>71.65</v>
      </c>
      <c r="M486" s="18" t="n">
        <f aca="false">IF(J486="","",ROUND(MAX(I486*J486,K486),2))</f>
        <v>71.82</v>
      </c>
      <c r="N486" s="18" t="n">
        <f aca="false">IF(M486="","",ROUND(L486-M486,2))</f>
        <v>-0.17</v>
      </c>
      <c r="O486" s="19" t="n">
        <f aca="false">IF(M486="","",N486/M486)</f>
        <v>-0.00236702868281816</v>
      </c>
      <c r="P486" s="14" t="str">
        <f aca="false">IF(M486="","SEM TARIFA NO CONTRATO",IF(N486&gt;Resumo!$B$4,"ACIMA DA TABELA",IF(N486&lt;-Resumo!$B$4,"ABAIXO DA TABELA","OK")))</f>
        <v>OK</v>
      </c>
    </row>
    <row r="487" customFormat="false" ht="15" hidden="false" customHeight="false" outlineLevel="0" collapsed="false">
      <c r="A487" s="14" t="s">
        <v>1025</v>
      </c>
      <c r="B487" s="14" t="s">
        <v>1026</v>
      </c>
      <c r="C487" s="14" t="s">
        <v>24</v>
      </c>
      <c r="D487" s="15" t="n">
        <v>46229</v>
      </c>
      <c r="E487" s="14" t="n">
        <f aca="false">MONTH(D487)</f>
        <v>7</v>
      </c>
      <c r="F487" s="14" t="s">
        <v>79</v>
      </c>
      <c r="G487" s="14" t="s">
        <v>50</v>
      </c>
      <c r="H487" s="14" t="s">
        <v>46</v>
      </c>
      <c r="I487" s="16" t="n">
        <v>463.1</v>
      </c>
      <c r="J487" s="17" t="n">
        <v>0.378</v>
      </c>
      <c r="K487" s="18" t="n">
        <v>75.6</v>
      </c>
      <c r="L487" s="18" t="n">
        <v>175.07</v>
      </c>
      <c r="M487" s="18" t="n">
        <f aca="false">IF(J487="","",ROUND(MAX(I487*J487,K487),2))</f>
        <v>175.05</v>
      </c>
      <c r="N487" s="18" t="n">
        <f aca="false">IF(M487="","",ROUND(L487-M487,2))</f>
        <v>0.02</v>
      </c>
      <c r="O487" s="19" t="n">
        <f aca="false">IF(M487="","",N487/M487)</f>
        <v>0.000114253070551271</v>
      </c>
      <c r="P487" s="14" t="str">
        <f aca="false">IF(M487="","SEM TARIFA NO CONTRATO",IF(N487&gt;Resumo!$B$4,"ACIMA DA TABELA",IF(N487&lt;-Resumo!$B$4,"ABAIXO DA TABELA","OK")))</f>
        <v>OK</v>
      </c>
    </row>
    <row r="488" customFormat="false" ht="15" hidden="false" customHeight="false" outlineLevel="0" collapsed="false">
      <c r="A488" s="14" t="s">
        <v>1027</v>
      </c>
      <c r="B488" s="14" t="s">
        <v>1028</v>
      </c>
      <c r="C488" s="14" t="s">
        <v>24</v>
      </c>
      <c r="D488" s="15" t="n">
        <v>46229</v>
      </c>
      <c r="E488" s="14" t="n">
        <f aca="false">MONTH(D488)</f>
        <v>7</v>
      </c>
      <c r="F488" s="14" t="s">
        <v>67</v>
      </c>
      <c r="G488" s="14" t="s">
        <v>50</v>
      </c>
      <c r="H488" s="14" t="s">
        <v>68</v>
      </c>
      <c r="I488" s="16" t="n">
        <v>219.4</v>
      </c>
      <c r="J488" s="17" t="n">
        <v>2.058</v>
      </c>
      <c r="K488" s="18" t="n">
        <v>201.6</v>
      </c>
      <c r="L488" s="18" t="n">
        <v>451.3</v>
      </c>
      <c r="M488" s="18" t="n">
        <f aca="false">IF(J488="","",ROUND(MAX(I488*J488,K488),2))</f>
        <v>451.53</v>
      </c>
      <c r="N488" s="18" t="n">
        <f aca="false">IF(M488="","",ROUND(L488-M488,2))</f>
        <v>-0.23</v>
      </c>
      <c r="O488" s="19" t="n">
        <f aca="false">IF(M488="","",N488/M488)</f>
        <v>-0.000509379221757137</v>
      </c>
      <c r="P488" s="14" t="str">
        <f aca="false">IF(M488="","SEM TARIFA NO CONTRATO",IF(N488&gt;Resumo!$B$4,"ACIMA DA TABELA",IF(N488&lt;-Resumo!$B$4,"ABAIXO DA TABELA","OK")))</f>
        <v>OK</v>
      </c>
    </row>
    <row r="489" customFormat="false" ht="15" hidden="false" customHeight="false" outlineLevel="0" collapsed="false">
      <c r="A489" s="14" t="s">
        <v>1029</v>
      </c>
      <c r="B489" s="14" t="s">
        <v>1030</v>
      </c>
      <c r="C489" s="14" t="s">
        <v>21</v>
      </c>
      <c r="D489" s="15" t="n">
        <v>46230</v>
      </c>
      <c r="E489" s="14" t="n">
        <f aca="false">MONTH(D489)</f>
        <v>7</v>
      </c>
      <c r="F489" s="14" t="s">
        <v>88</v>
      </c>
      <c r="G489" s="14" t="s">
        <v>50</v>
      </c>
      <c r="H489" s="14" t="s">
        <v>89</v>
      </c>
      <c r="I489" s="16" t="n">
        <v>1396.3</v>
      </c>
      <c r="J489" s="17" t="n">
        <v>1.9496</v>
      </c>
      <c r="K489" s="18" t="n">
        <v>198.2</v>
      </c>
      <c r="L489" s="18" t="n">
        <v>2721.9</v>
      </c>
      <c r="M489" s="18" t="n">
        <f aca="false">IF(J489="","",ROUND(MAX(I489*J489,K489),2))</f>
        <v>2722.23</v>
      </c>
      <c r="N489" s="18" t="n">
        <f aca="false">IF(M489="","",ROUND(L489-M489,2))</f>
        <v>-0.33</v>
      </c>
      <c r="O489" s="19" t="n">
        <f aca="false">IF(M489="","",N489/M489)</f>
        <v>-0.000121224143441223</v>
      </c>
      <c r="P489" s="14" t="str">
        <f aca="false">IF(M489="","SEM TARIFA NO CONTRATO",IF(N489&gt;Resumo!$B$4,"ACIMA DA TABELA",IF(N489&lt;-Resumo!$B$4,"ABAIXO DA TABELA","OK")))</f>
        <v>OK</v>
      </c>
    </row>
    <row r="490" customFormat="false" ht="15" hidden="false" customHeight="false" outlineLevel="0" collapsed="false">
      <c r="A490" s="14" t="s">
        <v>1031</v>
      </c>
      <c r="B490" s="14" t="s">
        <v>1032</v>
      </c>
      <c r="C490" s="14" t="s">
        <v>25</v>
      </c>
      <c r="D490" s="15" t="n">
        <v>46230</v>
      </c>
      <c r="E490" s="14" t="n">
        <f aca="false">MONTH(D490)</f>
        <v>7</v>
      </c>
      <c r="F490" s="14" t="s">
        <v>73</v>
      </c>
      <c r="G490" s="14" t="s">
        <v>50</v>
      </c>
      <c r="H490" s="14" t="s">
        <v>74</v>
      </c>
      <c r="I490" s="16" t="n">
        <v>453.2</v>
      </c>
      <c r="J490" s="17" t="n">
        <v>1.1411</v>
      </c>
      <c r="K490" s="18" t="n">
        <v>130.47</v>
      </c>
      <c r="L490" s="18" t="n">
        <v>517.3</v>
      </c>
      <c r="M490" s="18" t="n">
        <f aca="false">IF(J490="","",ROUND(MAX(I490*J490,K490),2))</f>
        <v>517.15</v>
      </c>
      <c r="N490" s="18" t="n">
        <f aca="false">IF(M490="","",ROUND(L490-M490,2))</f>
        <v>0.15</v>
      </c>
      <c r="O490" s="19" t="n">
        <f aca="false">IF(M490="","",N490/M490)</f>
        <v>0.000290051242386155</v>
      </c>
      <c r="P490" s="14" t="str">
        <f aca="false">IF(M490="","SEM TARIFA NO CONTRATO",IF(N490&gt;Resumo!$B$4,"ACIMA DA TABELA",IF(N490&lt;-Resumo!$B$4,"ABAIXO DA TABELA","OK")))</f>
        <v>OK</v>
      </c>
    </row>
    <row r="491" customFormat="false" ht="15" hidden="false" customHeight="false" outlineLevel="0" collapsed="false">
      <c r="A491" s="14" t="s">
        <v>1033</v>
      </c>
      <c r="B491" s="14" t="s">
        <v>1034</v>
      </c>
      <c r="C491" s="14" t="s">
        <v>25</v>
      </c>
      <c r="D491" s="15" t="n">
        <v>46230</v>
      </c>
      <c r="E491" s="14" t="n">
        <f aca="false">MONTH(D491)</f>
        <v>7</v>
      </c>
      <c r="F491" s="14" t="s">
        <v>44</v>
      </c>
      <c r="G491" s="14" t="s">
        <v>45</v>
      </c>
      <c r="H491" s="14" t="s">
        <v>46</v>
      </c>
      <c r="I491" s="16" t="n">
        <v>443.6</v>
      </c>
      <c r="J491" s="17" t="n">
        <v>0.8539</v>
      </c>
      <c r="K491" s="18" t="n">
        <v>108.93</v>
      </c>
      <c r="L491" s="18" t="n">
        <v>378.93</v>
      </c>
      <c r="M491" s="18" t="n">
        <f aca="false">IF(J491="","",ROUND(MAX(I491*J491,K491),2))</f>
        <v>378.79</v>
      </c>
      <c r="N491" s="18" t="n">
        <f aca="false">IF(M491="","",ROUND(L491-M491,2))</f>
        <v>0.14</v>
      </c>
      <c r="O491" s="19" t="n">
        <f aca="false">IF(M491="","",N491/M491)</f>
        <v>0.000369597930251591</v>
      </c>
      <c r="P491" s="14" t="str">
        <f aca="false">IF(M491="","SEM TARIFA NO CONTRATO",IF(N491&gt;Resumo!$B$4,"ACIMA DA TABELA",IF(N491&lt;-Resumo!$B$4,"ABAIXO DA TABELA","OK")))</f>
        <v>OK</v>
      </c>
    </row>
    <row r="492" customFormat="false" ht="15" hidden="false" customHeight="false" outlineLevel="0" collapsed="false">
      <c r="A492" s="14" t="s">
        <v>1035</v>
      </c>
      <c r="B492" s="14" t="s">
        <v>1036</v>
      </c>
      <c r="C492" s="14" t="s">
        <v>23</v>
      </c>
      <c r="D492" s="15" t="n">
        <v>46230</v>
      </c>
      <c r="E492" s="14" t="n">
        <f aca="false">MONTH(D492)</f>
        <v>7</v>
      </c>
      <c r="F492" s="14" t="s">
        <v>88</v>
      </c>
      <c r="G492" s="14" t="s">
        <v>50</v>
      </c>
      <c r="H492" s="14" t="s">
        <v>89</v>
      </c>
      <c r="I492" s="16" t="n">
        <v>700.3</v>
      </c>
      <c r="J492" s="17" t="n">
        <v>1.6306</v>
      </c>
      <c r="K492" s="18" t="n">
        <v>165.76</v>
      </c>
      <c r="L492" s="18" t="n">
        <v>1141.52</v>
      </c>
      <c r="M492" s="18" t="n">
        <f aca="false">IF(J492="","",ROUND(MAX(I492*J492,K492),2))</f>
        <v>1141.91</v>
      </c>
      <c r="N492" s="18" t="n">
        <f aca="false">IF(M492="","",ROUND(L492-M492,2))</f>
        <v>-0.39</v>
      </c>
      <c r="O492" s="19" t="n">
        <f aca="false">IF(M492="","",N492/M492)</f>
        <v>-0.000341533045511468</v>
      </c>
      <c r="P492" s="14" t="str">
        <f aca="false">IF(M492="","SEM TARIFA NO CONTRATO",IF(N492&gt;Resumo!$B$4,"ACIMA DA TABELA",IF(N492&lt;-Resumo!$B$4,"ABAIXO DA TABELA","OK")))</f>
        <v>OK</v>
      </c>
    </row>
    <row r="493" customFormat="false" ht="15" hidden="false" customHeight="false" outlineLevel="0" collapsed="false">
      <c r="A493" s="14" t="s">
        <v>1037</v>
      </c>
      <c r="B493" s="14" t="s">
        <v>1038</v>
      </c>
      <c r="C493" s="14" t="s">
        <v>23</v>
      </c>
      <c r="D493" s="15" t="n">
        <v>46230</v>
      </c>
      <c r="E493" s="14" t="n">
        <f aca="false">MONTH(D493)</f>
        <v>7</v>
      </c>
      <c r="F493" s="14" t="s">
        <v>49</v>
      </c>
      <c r="G493" s="14" t="s">
        <v>50</v>
      </c>
      <c r="H493" s="14" t="s">
        <v>51</v>
      </c>
      <c r="I493" s="16" t="n">
        <v>250.6</v>
      </c>
      <c r="J493" s="17" t="n">
        <v>4.289</v>
      </c>
      <c r="K493" s="18" t="n">
        <v>365.15</v>
      </c>
      <c r="L493" s="18" t="n">
        <v>1074.68</v>
      </c>
      <c r="M493" s="18" t="n">
        <f aca="false">IF(J493="","",ROUND(MAX(I493*J493,K493),2))</f>
        <v>1074.82</v>
      </c>
      <c r="N493" s="18" t="n">
        <f aca="false">IF(M493="","",ROUND(L493-M493,2))</f>
        <v>-0.14</v>
      </c>
      <c r="O493" s="19" t="n">
        <f aca="false">IF(M493="","",N493/M493)</f>
        <v>-0.000130254368173276</v>
      </c>
      <c r="P493" s="14" t="str">
        <f aca="false">IF(M493="","SEM TARIFA NO CONTRATO",IF(N493&gt;Resumo!$B$4,"ACIMA DA TABELA",IF(N493&lt;-Resumo!$B$4,"ABAIXO DA TABELA","OK")))</f>
        <v>OK</v>
      </c>
    </row>
    <row r="494" customFormat="false" ht="15" hidden="false" customHeight="false" outlineLevel="0" collapsed="false">
      <c r="A494" s="14" t="s">
        <v>1039</v>
      </c>
      <c r="B494" s="14" t="s">
        <v>1040</v>
      </c>
      <c r="C494" s="14" t="s">
        <v>25</v>
      </c>
      <c r="D494" s="15" t="n">
        <v>46233</v>
      </c>
      <c r="E494" s="14" t="n">
        <f aca="false">MONTH(D494)</f>
        <v>7</v>
      </c>
      <c r="F494" s="14" t="s">
        <v>79</v>
      </c>
      <c r="G494" s="14" t="s">
        <v>50</v>
      </c>
      <c r="H494" s="14" t="s">
        <v>46</v>
      </c>
      <c r="I494" s="16" t="n">
        <v>250.8</v>
      </c>
      <c r="J494" s="17" t="n">
        <v>0.3591</v>
      </c>
      <c r="K494" s="18" t="n">
        <v>71.82</v>
      </c>
      <c r="L494" s="18" t="n">
        <v>90.26</v>
      </c>
      <c r="M494" s="18" t="n">
        <f aca="false">IF(J494="","",ROUND(MAX(I494*J494,K494),2))</f>
        <v>90.06</v>
      </c>
      <c r="N494" s="18" t="n">
        <f aca="false">IF(M494="","",ROUND(L494-M494,2))</f>
        <v>0.2</v>
      </c>
      <c r="O494" s="19" t="n">
        <f aca="false">IF(M494="","",N494/M494)</f>
        <v>0.00222074172773706</v>
      </c>
      <c r="P494" s="14" t="str">
        <f aca="false">IF(M494="","SEM TARIFA NO CONTRATO",IF(N494&gt;Resumo!$B$4,"ACIMA DA TABELA",IF(N494&lt;-Resumo!$B$4,"ABAIXO DA TABELA","OK")))</f>
        <v>OK</v>
      </c>
    </row>
    <row r="495" customFormat="false" ht="15" hidden="false" customHeight="false" outlineLevel="0" collapsed="false">
      <c r="A495" s="14" t="s">
        <v>1041</v>
      </c>
      <c r="B495" s="14" t="s">
        <v>1042</v>
      </c>
      <c r="C495" s="14" t="s">
        <v>21</v>
      </c>
      <c r="D495" s="15" t="n">
        <v>46233</v>
      </c>
      <c r="E495" s="14" t="n">
        <f aca="false">MONTH(D495)</f>
        <v>7</v>
      </c>
      <c r="F495" s="14" t="s">
        <v>118</v>
      </c>
      <c r="G495" s="14" t="s">
        <v>50</v>
      </c>
      <c r="H495" s="14" t="s">
        <v>119</v>
      </c>
      <c r="I495" s="16" t="n">
        <v>1532.1</v>
      </c>
      <c r="J495" s="17" t="n">
        <v>3.8531</v>
      </c>
      <c r="K495" s="18" t="n">
        <v>340.96</v>
      </c>
      <c r="L495" s="18" t="n">
        <v>5903</v>
      </c>
      <c r="M495" s="18" t="n">
        <f aca="false">IF(J495="","",ROUND(MAX(I495*J495,K495),2))</f>
        <v>5903.33</v>
      </c>
      <c r="N495" s="18" t="n">
        <f aca="false">IF(M495="","",ROUND(L495-M495,2))</f>
        <v>-0.33</v>
      </c>
      <c r="O495" s="19" t="n">
        <f aca="false">IF(M495="","",N495/M495)</f>
        <v>-5.59006526824691E-005</v>
      </c>
      <c r="P495" s="14" t="str">
        <f aca="false">IF(M495="","SEM TARIFA NO CONTRATO",IF(N495&gt;Resumo!$B$4,"ACIMA DA TABELA",IF(N495&lt;-Resumo!$B$4,"ABAIXO DA TABELA","OK")))</f>
        <v>OK</v>
      </c>
    </row>
    <row r="496" customFormat="false" ht="15" hidden="false" customHeight="false" outlineLevel="0" collapsed="false">
      <c r="A496" s="14" t="s">
        <v>1043</v>
      </c>
      <c r="B496" s="14" t="s">
        <v>1044</v>
      </c>
      <c r="C496" s="14" t="s">
        <v>21</v>
      </c>
      <c r="D496" s="15" t="n">
        <v>46233</v>
      </c>
      <c r="E496" s="14" t="n">
        <f aca="false">MONTH(D496)</f>
        <v>7</v>
      </c>
      <c r="F496" s="14" t="s">
        <v>73</v>
      </c>
      <c r="G496" s="14" t="s">
        <v>50</v>
      </c>
      <c r="H496" s="14" t="s">
        <v>74</v>
      </c>
      <c r="I496" s="16" t="n">
        <v>1405.6</v>
      </c>
      <c r="J496" s="17" t="n">
        <v>1.3213</v>
      </c>
      <c r="K496" s="18" t="n">
        <v>151.07</v>
      </c>
      <c r="L496" s="18" t="n">
        <v>1857.02</v>
      </c>
      <c r="M496" s="18" t="n">
        <f aca="false">IF(J496="","",ROUND(MAX(I496*J496,K496),2))</f>
        <v>1857.22</v>
      </c>
      <c r="N496" s="18" t="n">
        <f aca="false">IF(M496="","",ROUND(L496-M496,2))</f>
        <v>-0.2</v>
      </c>
      <c r="O496" s="19" t="n">
        <f aca="false">IF(M496="","",N496/M496)</f>
        <v>-0.000107687834505336</v>
      </c>
      <c r="P496" s="14" t="str">
        <f aca="false">IF(M496="","SEM TARIFA NO CONTRATO",IF(N496&gt;Resumo!$B$4,"ACIMA DA TABELA",IF(N496&lt;-Resumo!$B$4,"ABAIXO DA TABELA","OK")))</f>
        <v>OK</v>
      </c>
    </row>
    <row r="497" customFormat="false" ht="15" hidden="false" customHeight="false" outlineLevel="0" collapsed="false">
      <c r="A497" s="14" t="s">
        <v>1045</v>
      </c>
      <c r="B497" s="14" t="s">
        <v>1046</v>
      </c>
      <c r="C497" s="14" t="s">
        <v>25</v>
      </c>
      <c r="D497" s="15" t="n">
        <v>46234</v>
      </c>
      <c r="E497" s="14" t="n">
        <f aca="false">MONTH(D497)</f>
        <v>7</v>
      </c>
      <c r="F497" s="14" t="s">
        <v>61</v>
      </c>
      <c r="G497" s="14" t="s">
        <v>50</v>
      </c>
      <c r="H497" s="14" t="s">
        <v>62</v>
      </c>
      <c r="I497" s="16" t="n">
        <v>591</v>
      </c>
      <c r="J497" s="17" t="n">
        <v>0.9975</v>
      </c>
      <c r="K497" s="18" t="n">
        <v>119.7</v>
      </c>
      <c r="L497" s="18" t="n">
        <v>589.27</v>
      </c>
      <c r="M497" s="18" t="n">
        <f aca="false">IF(J497="","",ROUND(MAX(I497*J497,K497),2))</f>
        <v>589.52</v>
      </c>
      <c r="N497" s="18" t="n">
        <f aca="false">IF(M497="","",ROUND(L497-M497,2))</f>
        <v>-0.25</v>
      </c>
      <c r="O497" s="19" t="n">
        <f aca="false">IF(M497="","",N497/M497)</f>
        <v>-0.000424073822771068</v>
      </c>
      <c r="P497" s="14" t="str">
        <f aca="false">IF(M497="","SEM TARIFA NO CONTRATO",IF(N497&gt;Resumo!$B$4,"ACIMA DA TABELA",IF(N497&lt;-Resumo!$B$4,"ABAIXO DA TABELA","OK")))</f>
        <v>OK</v>
      </c>
    </row>
    <row r="498" customFormat="false" ht="15" hidden="false" customHeight="false" outlineLevel="0" collapsed="false">
      <c r="A498" s="14" t="s">
        <v>1047</v>
      </c>
      <c r="B498" s="14" t="s">
        <v>1048</v>
      </c>
      <c r="C498" s="14" t="s">
        <v>22</v>
      </c>
      <c r="D498" s="15" t="n">
        <v>46234</v>
      </c>
      <c r="E498" s="14" t="n">
        <f aca="false">MONTH(D498)</f>
        <v>7</v>
      </c>
      <c r="F498" s="14" t="s">
        <v>67</v>
      </c>
      <c r="G498" s="14" t="s">
        <v>50</v>
      </c>
      <c r="H498" s="14" t="s">
        <v>68</v>
      </c>
      <c r="I498" s="16" t="n">
        <v>2109.9</v>
      </c>
      <c r="J498" s="17" t="n">
        <v>2.1609</v>
      </c>
      <c r="K498" s="18" t="n">
        <v>211.68</v>
      </c>
      <c r="L498" s="18" t="n">
        <v>4992.41</v>
      </c>
      <c r="M498" s="18" t="n">
        <f aca="false">IF(J498="","",ROUND(MAX(I498*J498,K498),2))</f>
        <v>4559.28</v>
      </c>
      <c r="N498" s="18" t="n">
        <f aca="false">IF(M498="","",ROUND(L498-M498,2))</f>
        <v>433.13</v>
      </c>
      <c r="O498" s="19" t="n">
        <f aca="false">IF(M498="","",N498/M498)</f>
        <v>0.0949996490673966</v>
      </c>
      <c r="P498" s="14" t="str">
        <f aca="false">IF(M498="","SEM TARIFA NO CONTRATO",IF(N498&gt;Resumo!$B$4,"ACIMA DA TABELA",IF(N498&lt;-Resumo!$B$4,"ABAIXO DA TABELA","OK")))</f>
        <v>ACIMA DA TABELA</v>
      </c>
    </row>
    <row r="499" customFormat="false" ht="15" hidden="false" customHeight="false" outlineLevel="0" collapsed="false">
      <c r="A499" s="14" t="s">
        <v>1049</v>
      </c>
      <c r="B499" s="14" t="s">
        <v>1050</v>
      </c>
      <c r="C499" s="14" t="s">
        <v>21</v>
      </c>
      <c r="D499" s="15" t="n">
        <v>46234</v>
      </c>
      <c r="E499" s="14" t="n">
        <f aca="false">MONTH(D499)</f>
        <v>7</v>
      </c>
      <c r="F499" s="14" t="s">
        <v>118</v>
      </c>
      <c r="G499" s="14" t="s">
        <v>50</v>
      </c>
      <c r="H499" s="14" t="s">
        <v>119</v>
      </c>
      <c r="I499" s="16" t="n">
        <v>372.6</v>
      </c>
      <c r="J499" s="17" t="n">
        <v>3.8531</v>
      </c>
      <c r="K499" s="18" t="n">
        <v>340.96</v>
      </c>
      <c r="L499" s="18" t="n">
        <v>1435.63</v>
      </c>
      <c r="M499" s="18" t="n">
        <f aca="false">IF(J499="","",ROUND(MAX(I499*J499,K499),2))</f>
        <v>1435.67</v>
      </c>
      <c r="N499" s="18" t="n">
        <f aca="false">IF(M499="","",ROUND(L499-M499,2))</f>
        <v>-0.04</v>
      </c>
      <c r="O499" s="19" t="n">
        <f aca="false">IF(M499="","",N499/M499)</f>
        <v>-2.78615559285908E-005</v>
      </c>
      <c r="P499" s="14" t="str">
        <f aca="false">IF(M499="","SEM TARIFA NO CONTRATO",IF(N499&gt;Resumo!$B$4,"ACIMA DA TABELA",IF(N499&lt;-Resumo!$B$4,"ABAIXO DA TABELA","OK")))</f>
        <v>OK</v>
      </c>
    </row>
    <row r="500" customFormat="false" ht="15" hidden="false" customHeight="false" outlineLevel="0" collapsed="false">
      <c r="A500" s="14" t="s">
        <v>1051</v>
      </c>
      <c r="B500" s="14" t="s">
        <v>1052</v>
      </c>
      <c r="C500" s="14" t="s">
        <v>22</v>
      </c>
      <c r="D500" s="15" t="n">
        <v>46235</v>
      </c>
      <c r="E500" s="14" t="n">
        <f aca="false">MONTH(D500)</f>
        <v>8</v>
      </c>
      <c r="F500" s="14" t="s">
        <v>118</v>
      </c>
      <c r="G500" s="14" t="s">
        <v>50</v>
      </c>
      <c r="H500" s="14" t="s">
        <v>119</v>
      </c>
      <c r="I500" s="16" t="n">
        <v>2008.2</v>
      </c>
      <c r="J500" s="17" t="n">
        <v>3.6779</v>
      </c>
      <c r="K500" s="18" t="n">
        <v>325.46</v>
      </c>
      <c r="L500" s="18" t="n">
        <v>8087.62</v>
      </c>
      <c r="M500" s="18" t="n">
        <f aca="false">IF(J500="","",ROUND(MAX(I500*J500,K500),2))</f>
        <v>7385.96</v>
      </c>
      <c r="N500" s="18" t="n">
        <f aca="false">IF(M500="","",ROUND(L500-M500,2))</f>
        <v>701.66</v>
      </c>
      <c r="O500" s="19" t="n">
        <f aca="false">IF(M500="","",N500/M500)</f>
        <v>0.094999160569513</v>
      </c>
      <c r="P500" s="14" t="str">
        <f aca="false">IF(M500="","SEM TARIFA NO CONTRATO",IF(N500&gt;Resumo!$B$4,"ACIMA DA TABELA",IF(N500&lt;-Resumo!$B$4,"ABAIXO DA TABELA","OK")))</f>
        <v>ACIMA DA TABELA</v>
      </c>
    </row>
    <row r="501" customFormat="false" ht="15" hidden="false" customHeight="false" outlineLevel="0" collapsed="false">
      <c r="A501" s="14" t="s">
        <v>1053</v>
      </c>
      <c r="B501" s="14" t="s">
        <v>1054</v>
      </c>
      <c r="C501" s="14" t="s">
        <v>25</v>
      </c>
      <c r="D501" s="15" t="n">
        <v>46235</v>
      </c>
      <c r="E501" s="14" t="n">
        <f aca="false">MONTH(D501)</f>
        <v>8</v>
      </c>
      <c r="F501" s="14" t="s">
        <v>79</v>
      </c>
      <c r="G501" s="14" t="s">
        <v>50</v>
      </c>
      <c r="H501" s="14" t="s">
        <v>46</v>
      </c>
      <c r="I501" s="16" t="n">
        <v>123.3</v>
      </c>
      <c r="J501" s="17" t="n">
        <v>0.3591</v>
      </c>
      <c r="K501" s="18" t="n">
        <v>71.82</v>
      </c>
      <c r="L501" s="18" t="n">
        <v>71.61</v>
      </c>
      <c r="M501" s="18" t="n">
        <f aca="false">IF(J501="","",ROUND(MAX(I501*J501,K501),2))</f>
        <v>71.82</v>
      </c>
      <c r="N501" s="18" t="n">
        <f aca="false">IF(M501="","",ROUND(L501-M501,2))</f>
        <v>-0.21</v>
      </c>
      <c r="O501" s="19" t="n">
        <f aca="false">IF(M501="","",N501/M501)</f>
        <v>-0.00292397660818713</v>
      </c>
      <c r="P501" s="14" t="str">
        <f aca="false">IF(M501="","SEM TARIFA NO CONTRATO",IF(N501&gt;Resumo!$B$4,"ACIMA DA TABELA",IF(N501&lt;-Resumo!$B$4,"ABAIXO DA TABELA","OK")))</f>
        <v>OK</v>
      </c>
    </row>
    <row r="502" customFormat="false" ht="15" hidden="false" customHeight="false" outlineLevel="0" collapsed="false">
      <c r="A502" s="14" t="s">
        <v>1055</v>
      </c>
      <c r="B502" s="14" t="s">
        <v>1056</v>
      </c>
      <c r="C502" s="14" t="s">
        <v>21</v>
      </c>
      <c r="D502" s="15" t="n">
        <v>46235</v>
      </c>
      <c r="E502" s="14" t="n">
        <f aca="false">MONTH(D502)</f>
        <v>8</v>
      </c>
      <c r="F502" s="14" t="s">
        <v>73</v>
      </c>
      <c r="G502" s="14" t="s">
        <v>50</v>
      </c>
      <c r="H502" s="14" t="s">
        <v>74</v>
      </c>
      <c r="I502" s="16" t="n">
        <v>2504.5</v>
      </c>
      <c r="J502" s="17" t="n">
        <v>1.3213</v>
      </c>
      <c r="K502" s="18" t="n">
        <v>151.07</v>
      </c>
      <c r="L502" s="18" t="n">
        <v>3309.26</v>
      </c>
      <c r="M502" s="18" t="n">
        <f aca="false">IF(J502="","",ROUND(MAX(I502*J502,K502),2))</f>
        <v>3309.2</v>
      </c>
      <c r="N502" s="18" t="n">
        <f aca="false">IF(M502="","",ROUND(L502-M502,2))</f>
        <v>0.06</v>
      </c>
      <c r="O502" s="19" t="n">
        <f aca="false">IF(M502="","",N502/M502)</f>
        <v>1.81312703976792E-005</v>
      </c>
      <c r="P502" s="14" t="str">
        <f aca="false">IF(M502="","SEM TARIFA NO CONTRATO",IF(N502&gt;Resumo!$B$4,"ACIMA DA TABELA",IF(N502&lt;-Resumo!$B$4,"ABAIXO DA TABELA","OK")))</f>
        <v>OK</v>
      </c>
    </row>
    <row r="503" customFormat="false" ht="15" hidden="false" customHeight="false" outlineLevel="0" collapsed="false">
      <c r="A503" s="14" t="s">
        <v>1057</v>
      </c>
      <c r="B503" s="14" t="s">
        <v>1058</v>
      </c>
      <c r="C503" s="14" t="s">
        <v>21</v>
      </c>
      <c r="D503" s="15" t="n">
        <v>46236</v>
      </c>
      <c r="E503" s="14" t="n">
        <f aca="false">MONTH(D503)</f>
        <v>8</v>
      </c>
      <c r="F503" s="14" t="s">
        <v>88</v>
      </c>
      <c r="G503" s="14" t="s">
        <v>50</v>
      </c>
      <c r="H503" s="14" t="s">
        <v>89</v>
      </c>
      <c r="I503" s="16" t="n">
        <v>402.5</v>
      </c>
      <c r="J503" s="17" t="n">
        <v>1.9496</v>
      </c>
      <c r="K503" s="18" t="n">
        <v>198.2</v>
      </c>
      <c r="L503" s="18" t="n">
        <v>784.46</v>
      </c>
      <c r="M503" s="18" t="n">
        <f aca="false">IF(J503="","",ROUND(MAX(I503*J503,K503),2))</f>
        <v>784.71</v>
      </c>
      <c r="N503" s="18" t="n">
        <f aca="false">IF(M503="","",ROUND(L503-M503,2))</f>
        <v>-0.25</v>
      </c>
      <c r="O503" s="19" t="n">
        <f aca="false">IF(M503="","",N503/M503)</f>
        <v>-0.000318589032891132</v>
      </c>
      <c r="P503" s="14" t="str">
        <f aca="false">IF(M503="","SEM TARIFA NO CONTRATO",IF(N503&gt;Resumo!$B$4,"ACIMA DA TABELA",IF(N503&lt;-Resumo!$B$4,"ABAIXO DA TABELA","OK")))</f>
        <v>OK</v>
      </c>
    </row>
    <row r="504" customFormat="false" ht="15" hidden="false" customHeight="false" outlineLevel="0" collapsed="false">
      <c r="A504" s="14" t="s">
        <v>1059</v>
      </c>
      <c r="B504" s="14" t="s">
        <v>1060</v>
      </c>
      <c r="C504" s="14" t="s">
        <v>24</v>
      </c>
      <c r="D504" s="15" t="n">
        <v>46236</v>
      </c>
      <c r="E504" s="14" t="n">
        <f aca="false">MONTH(D504)</f>
        <v>8</v>
      </c>
      <c r="F504" s="14" t="s">
        <v>67</v>
      </c>
      <c r="G504" s="14" t="s">
        <v>50</v>
      </c>
      <c r="H504" s="14" t="s">
        <v>68</v>
      </c>
      <c r="I504" s="16" t="n">
        <v>332.5</v>
      </c>
      <c r="J504" s="17" t="n">
        <v>2.058</v>
      </c>
      <c r="K504" s="18" t="n">
        <v>201.6</v>
      </c>
      <c r="L504" s="18" t="n">
        <v>684.07</v>
      </c>
      <c r="M504" s="18" t="n">
        <f aca="false">IF(J504="","",ROUND(MAX(I504*J504,K504),2))</f>
        <v>684.29</v>
      </c>
      <c r="N504" s="18" t="n">
        <f aca="false">IF(M504="","",ROUND(L504-M504,2))</f>
        <v>-0.22</v>
      </c>
      <c r="O504" s="19" t="n">
        <f aca="false">IF(M504="","",N504/M504)</f>
        <v>-0.000321501117947069</v>
      </c>
      <c r="P504" s="14" t="str">
        <f aca="false">IF(M504="","SEM TARIFA NO CONTRATO",IF(N504&gt;Resumo!$B$4,"ACIMA DA TABELA",IF(N504&lt;-Resumo!$B$4,"ABAIXO DA TABELA","OK")))</f>
        <v>OK</v>
      </c>
    </row>
    <row r="505" customFormat="false" ht="15" hidden="false" customHeight="false" outlineLevel="0" collapsed="false">
      <c r="A505" s="14" t="s">
        <v>1061</v>
      </c>
      <c r="B505" s="14" t="s">
        <v>1062</v>
      </c>
      <c r="C505" s="14" t="s">
        <v>25</v>
      </c>
      <c r="D505" s="15" t="n">
        <v>46236</v>
      </c>
      <c r="E505" s="14" t="n">
        <f aca="false">MONTH(D505)</f>
        <v>8</v>
      </c>
      <c r="F505" s="14" t="s">
        <v>88</v>
      </c>
      <c r="G505" s="14" t="s">
        <v>50</v>
      </c>
      <c r="H505" s="14" t="s">
        <v>89</v>
      </c>
      <c r="I505" s="16" t="n">
        <v>6215.4</v>
      </c>
      <c r="J505" s="17" t="n">
        <v>1.6838</v>
      </c>
      <c r="K505" s="18" t="n">
        <v>171.17</v>
      </c>
      <c r="L505" s="18" t="n">
        <v>10465.52</v>
      </c>
      <c r="M505" s="18" t="n">
        <f aca="false">IF(J505="","",ROUND(MAX(I505*J505,K505),2))</f>
        <v>10465.49</v>
      </c>
      <c r="N505" s="18" t="n">
        <f aca="false">IF(M505="","",ROUND(L505-M505,2))</f>
        <v>0.03</v>
      </c>
      <c r="O505" s="19" t="n">
        <f aca="false">IF(M505="","",N505/M505)</f>
        <v>2.8665642984705E-006</v>
      </c>
      <c r="P505" s="14" t="str">
        <f aca="false">IF(M505="","SEM TARIFA NO CONTRATO",IF(N505&gt;Resumo!$B$4,"ACIMA DA TABELA",IF(N505&lt;-Resumo!$B$4,"ABAIXO DA TABELA","OK")))</f>
        <v>OK</v>
      </c>
    </row>
    <row r="506" customFormat="false" ht="15" hidden="false" customHeight="false" outlineLevel="0" collapsed="false">
      <c r="A506" s="14" t="s">
        <v>1063</v>
      </c>
      <c r="B506" s="14" t="s">
        <v>1064</v>
      </c>
      <c r="C506" s="14" t="s">
        <v>25</v>
      </c>
      <c r="D506" s="15" t="n">
        <v>46237</v>
      </c>
      <c r="E506" s="14" t="n">
        <f aca="false">MONTH(D506)</f>
        <v>8</v>
      </c>
      <c r="F506" s="14" t="s">
        <v>44</v>
      </c>
      <c r="G506" s="14" t="s">
        <v>45</v>
      </c>
      <c r="H506" s="14" t="s">
        <v>46</v>
      </c>
      <c r="I506" s="16" t="n">
        <v>806.9</v>
      </c>
      <c r="J506" s="17" t="n">
        <v>0.8539</v>
      </c>
      <c r="K506" s="18" t="n">
        <v>108.93</v>
      </c>
      <c r="L506" s="18" t="n">
        <v>689.32</v>
      </c>
      <c r="M506" s="18" t="n">
        <f aca="false">IF(J506="","",ROUND(MAX(I506*J506,K506),2))</f>
        <v>689.01</v>
      </c>
      <c r="N506" s="18" t="n">
        <f aca="false">IF(M506="","",ROUND(L506-M506,2))</f>
        <v>0.31</v>
      </c>
      <c r="O506" s="19" t="n">
        <f aca="false">IF(M506="","",N506/M506)</f>
        <v>0.000449920901002888</v>
      </c>
      <c r="P506" s="14" t="str">
        <f aca="false">IF(M506="","SEM TARIFA NO CONTRATO",IF(N506&gt;Resumo!$B$4,"ACIMA DA TABELA",IF(N506&lt;-Resumo!$B$4,"ABAIXO DA TABELA","OK")))</f>
        <v>OK</v>
      </c>
    </row>
    <row r="507" customFormat="false" ht="15" hidden="false" customHeight="false" outlineLevel="0" collapsed="false">
      <c r="A507" s="14" t="s">
        <v>1065</v>
      </c>
      <c r="B507" s="14" t="s">
        <v>1066</v>
      </c>
      <c r="C507" s="14" t="s">
        <v>24</v>
      </c>
      <c r="D507" s="15" t="n">
        <v>46237</v>
      </c>
      <c r="E507" s="14" t="n">
        <f aca="false">MONTH(D507)</f>
        <v>8</v>
      </c>
      <c r="F507" s="14" t="s">
        <v>56</v>
      </c>
      <c r="G507" s="14" t="s">
        <v>50</v>
      </c>
      <c r="H507" s="14" t="s">
        <v>45</v>
      </c>
      <c r="I507" s="16" t="n">
        <v>699.3</v>
      </c>
      <c r="J507" s="17" t="n">
        <v>0.8988</v>
      </c>
      <c r="K507" s="18" t="n">
        <v>114.66</v>
      </c>
      <c r="L507" s="18" t="n">
        <v>628.47</v>
      </c>
      <c r="M507" s="18" t="n">
        <f aca="false">IF(J507="","",ROUND(MAX(I507*J507,K507),2))</f>
        <v>628.53</v>
      </c>
      <c r="N507" s="18" t="n">
        <f aca="false">IF(M507="","",ROUND(L507-M507,2))</f>
        <v>-0.06</v>
      </c>
      <c r="O507" s="19" t="n">
        <f aca="false">IF(M507="","",N507/M507)</f>
        <v>-9.54608371915422E-005</v>
      </c>
      <c r="P507" s="14" t="str">
        <f aca="false">IF(M507="","SEM TARIFA NO CONTRATO",IF(N507&gt;Resumo!$B$4,"ACIMA DA TABELA",IF(N507&lt;-Resumo!$B$4,"ABAIXO DA TABELA","OK")))</f>
        <v>OK</v>
      </c>
    </row>
    <row r="508" customFormat="false" ht="15" hidden="false" customHeight="false" outlineLevel="0" collapsed="false">
      <c r="A508" s="14" t="s">
        <v>1067</v>
      </c>
      <c r="B508" s="14" t="s">
        <v>1056</v>
      </c>
      <c r="C508" s="14" t="s">
        <v>21</v>
      </c>
      <c r="D508" s="15" t="n">
        <v>46238</v>
      </c>
      <c r="E508" s="14" t="n">
        <f aca="false">MONTH(D508)</f>
        <v>8</v>
      </c>
      <c r="F508" s="14" t="s">
        <v>73</v>
      </c>
      <c r="G508" s="14" t="s">
        <v>50</v>
      </c>
      <c r="H508" s="14" t="s">
        <v>74</v>
      </c>
      <c r="I508" s="16" t="n">
        <v>2504.5</v>
      </c>
      <c r="J508" s="17" t="n">
        <v>1.3213</v>
      </c>
      <c r="K508" s="18" t="n">
        <v>151.07</v>
      </c>
      <c r="L508" s="18" t="n">
        <v>3309.26</v>
      </c>
      <c r="M508" s="18" t="n">
        <f aca="false">IF(J508="","",ROUND(MAX(I508*J508,K508),2))</f>
        <v>3309.2</v>
      </c>
      <c r="N508" s="18" t="n">
        <f aca="false">IF(M508="","",ROUND(L508-M508,2))</f>
        <v>0.06</v>
      </c>
      <c r="O508" s="19" t="n">
        <f aca="false">IF(M508="","",N508/M508)</f>
        <v>1.81312703976792E-005</v>
      </c>
      <c r="P508" s="14" t="str">
        <f aca="false">IF(M508="","SEM TARIFA NO CONTRATO",IF(N508&gt;Resumo!$B$4,"ACIMA DA TABELA",IF(N508&lt;-Resumo!$B$4,"ABAIXO DA TABELA","OK")))</f>
        <v>OK</v>
      </c>
    </row>
    <row r="509" customFormat="false" ht="15" hidden="false" customHeight="false" outlineLevel="0" collapsed="false">
      <c r="A509" s="14" t="s">
        <v>1068</v>
      </c>
      <c r="B509" s="14" t="s">
        <v>1069</v>
      </c>
      <c r="C509" s="14" t="s">
        <v>21</v>
      </c>
      <c r="D509" s="15" t="n">
        <v>46238</v>
      </c>
      <c r="E509" s="14" t="n">
        <f aca="false">MONTH(D509)</f>
        <v>8</v>
      </c>
      <c r="F509" s="14" t="s">
        <v>88</v>
      </c>
      <c r="G509" s="14" t="s">
        <v>50</v>
      </c>
      <c r="H509" s="14" t="s">
        <v>89</v>
      </c>
      <c r="I509" s="16" t="n">
        <v>82.8</v>
      </c>
      <c r="J509" s="17" t="n">
        <v>1.9496</v>
      </c>
      <c r="K509" s="18" t="n">
        <v>198.2</v>
      </c>
      <c r="L509" s="18" t="n">
        <v>198.16</v>
      </c>
      <c r="M509" s="18" t="n">
        <f aca="false">IF(J509="","",ROUND(MAX(I509*J509,K509),2))</f>
        <v>198.2</v>
      </c>
      <c r="N509" s="18" t="n">
        <f aca="false">IF(M509="","",ROUND(L509-M509,2))</f>
        <v>-0.04</v>
      </c>
      <c r="O509" s="19" t="n">
        <f aca="false">IF(M509="","",N509/M509)</f>
        <v>-0.000201816347124117</v>
      </c>
      <c r="P509" s="14" t="str">
        <f aca="false">IF(M509="","SEM TARIFA NO CONTRATO",IF(N509&gt;Resumo!$B$4,"ACIMA DA TABELA",IF(N509&lt;-Resumo!$B$4,"ABAIXO DA TABELA","OK")))</f>
        <v>OK</v>
      </c>
    </row>
    <row r="510" customFormat="false" ht="15" hidden="false" customHeight="false" outlineLevel="0" collapsed="false">
      <c r="A510" s="14" t="s">
        <v>1070</v>
      </c>
      <c r="B510" s="14" t="s">
        <v>1071</v>
      </c>
      <c r="C510" s="14" t="s">
        <v>24</v>
      </c>
      <c r="D510" s="15" t="n">
        <v>46238</v>
      </c>
      <c r="E510" s="14" t="n">
        <f aca="false">MONTH(D510)</f>
        <v>8</v>
      </c>
      <c r="F510" s="14" t="s">
        <v>73</v>
      </c>
      <c r="G510" s="14" t="s">
        <v>50</v>
      </c>
      <c r="H510" s="14" t="s">
        <v>74</v>
      </c>
      <c r="I510" s="16" t="n">
        <v>118.8</v>
      </c>
      <c r="J510" s="17" t="n">
        <v>1.2012</v>
      </c>
      <c r="K510" s="18" t="n">
        <v>137.34</v>
      </c>
      <c r="L510" s="18" t="n">
        <v>142.59</v>
      </c>
      <c r="M510" s="18" t="n">
        <f aca="false">IF(J510="","",ROUND(MAX(I510*J510,K510),2))</f>
        <v>142.7</v>
      </c>
      <c r="N510" s="18" t="n">
        <f aca="false">IF(M510="","",ROUND(L510-M510,2))</f>
        <v>-0.11</v>
      </c>
      <c r="O510" s="19" t="n">
        <f aca="false">IF(M510="","",N510/M510)</f>
        <v>-0.000770847932725999</v>
      </c>
      <c r="P510" s="14" t="str">
        <f aca="false">IF(M510="","SEM TARIFA NO CONTRATO",IF(N510&gt;Resumo!$B$4,"ACIMA DA TABELA",IF(N510&lt;-Resumo!$B$4,"ABAIXO DA TABELA","OK")))</f>
        <v>OK</v>
      </c>
    </row>
    <row r="511" customFormat="false" ht="15" hidden="false" customHeight="false" outlineLevel="0" collapsed="false">
      <c r="A511" s="14" t="s">
        <v>1072</v>
      </c>
      <c r="B511" s="14" t="s">
        <v>1073</v>
      </c>
      <c r="C511" s="14" t="s">
        <v>24</v>
      </c>
      <c r="D511" s="15" t="n">
        <v>46239</v>
      </c>
      <c r="E511" s="14" t="n">
        <f aca="false">MONTH(D511)</f>
        <v>8</v>
      </c>
      <c r="F511" s="14" t="s">
        <v>44</v>
      </c>
      <c r="G511" s="14" t="s">
        <v>45</v>
      </c>
      <c r="H511" s="14" t="s">
        <v>46</v>
      </c>
      <c r="I511" s="16" t="n">
        <v>627.6</v>
      </c>
      <c r="J511" s="17" t="n">
        <v>0.8988</v>
      </c>
      <c r="K511" s="18" t="n">
        <v>114.66</v>
      </c>
      <c r="L511" s="18" t="n">
        <v>564.16</v>
      </c>
      <c r="M511" s="18" t="n">
        <f aca="false">IF(J511="","",ROUND(MAX(I511*J511,K511),2))</f>
        <v>564.09</v>
      </c>
      <c r="N511" s="18" t="n">
        <f aca="false">IF(M511="","",ROUND(L511-M511,2))</f>
        <v>0.07</v>
      </c>
      <c r="O511" s="19" t="n">
        <f aca="false">IF(M511="","",N511/M511)</f>
        <v>0.000124093672995444</v>
      </c>
      <c r="P511" s="14" t="str">
        <f aca="false">IF(M511="","SEM TARIFA NO CONTRATO",IF(N511&gt;Resumo!$B$4,"ACIMA DA TABELA",IF(N511&lt;-Resumo!$B$4,"ABAIXO DA TABELA","OK")))</f>
        <v>OK</v>
      </c>
    </row>
    <row r="512" customFormat="false" ht="15" hidden="false" customHeight="false" outlineLevel="0" collapsed="false">
      <c r="A512" s="14" t="s">
        <v>1074</v>
      </c>
      <c r="B512" s="14" t="s">
        <v>1075</v>
      </c>
      <c r="C512" s="14" t="s">
        <v>22</v>
      </c>
      <c r="D512" s="15" t="n">
        <v>46239</v>
      </c>
      <c r="E512" s="14" t="n">
        <f aca="false">MONTH(D512)</f>
        <v>8</v>
      </c>
      <c r="F512" s="14" t="s">
        <v>73</v>
      </c>
      <c r="G512" s="14" t="s">
        <v>50</v>
      </c>
      <c r="H512" s="14" t="s">
        <v>74</v>
      </c>
      <c r="I512" s="16" t="n">
        <v>366.6</v>
      </c>
      <c r="J512" s="17" t="n">
        <v>1.2613</v>
      </c>
      <c r="K512" s="18" t="n">
        <v>144.21</v>
      </c>
      <c r="L512" s="18" t="n">
        <v>506.32</v>
      </c>
      <c r="M512" s="18" t="n">
        <f aca="false">IF(J512="","",ROUND(MAX(I512*J512,K512),2))</f>
        <v>462.39</v>
      </c>
      <c r="N512" s="18" t="n">
        <f aca="false">IF(M512="","",ROUND(L512-M512,2))</f>
        <v>43.93</v>
      </c>
      <c r="O512" s="19" t="n">
        <f aca="false">IF(M512="","",N512/M512)</f>
        <v>0.095006379895759</v>
      </c>
      <c r="P512" s="14" t="str">
        <f aca="false">IF(M512="","SEM TARIFA NO CONTRATO",IF(N512&gt;Resumo!$B$4,"ACIMA DA TABELA",IF(N512&lt;-Resumo!$B$4,"ABAIXO DA TABELA","OK")))</f>
        <v>ACIMA DA TABELA</v>
      </c>
    </row>
    <row r="513" customFormat="false" ht="15" hidden="false" customHeight="false" outlineLevel="0" collapsed="false">
      <c r="A513" s="14" t="s">
        <v>1076</v>
      </c>
      <c r="B513" s="14" t="s">
        <v>1077</v>
      </c>
      <c r="C513" s="14" t="s">
        <v>22</v>
      </c>
      <c r="D513" s="15" t="n">
        <v>46240</v>
      </c>
      <c r="E513" s="14" t="n">
        <f aca="false">MONTH(D513)</f>
        <v>8</v>
      </c>
      <c r="F513" s="14" t="s">
        <v>104</v>
      </c>
      <c r="G513" s="14" t="s">
        <v>45</v>
      </c>
      <c r="H513" s="14" t="s">
        <v>68</v>
      </c>
      <c r="I513" s="16" t="n">
        <v>96</v>
      </c>
      <c r="J513" s="17" t="n">
        <v>1.4553</v>
      </c>
      <c r="K513" s="18" t="n">
        <v>158.76</v>
      </c>
      <c r="L513" s="18" t="n">
        <v>173.84</v>
      </c>
      <c r="M513" s="18" t="n">
        <f aca="false">IF(J513="","",ROUND(MAX(I513*J513,K513),2))</f>
        <v>158.76</v>
      </c>
      <c r="N513" s="18" t="n">
        <f aca="false">IF(M513="","",ROUND(L513-M513,2))</f>
        <v>15.08</v>
      </c>
      <c r="O513" s="19" t="n">
        <f aca="false">IF(M513="","",N513/M513)</f>
        <v>0.0949861426051902</v>
      </c>
      <c r="P513" s="14" t="str">
        <f aca="false">IF(M513="","SEM TARIFA NO CONTRATO",IF(N513&gt;Resumo!$B$4,"ACIMA DA TABELA",IF(N513&lt;-Resumo!$B$4,"ABAIXO DA TABELA","OK")))</f>
        <v>ACIMA DA TABELA</v>
      </c>
    </row>
    <row r="514" customFormat="false" ht="15" hidden="false" customHeight="false" outlineLevel="0" collapsed="false">
      <c r="A514" s="14" t="s">
        <v>1078</v>
      </c>
      <c r="B514" s="14" t="s">
        <v>1079</v>
      </c>
      <c r="C514" s="14" t="s">
        <v>25</v>
      </c>
      <c r="D514" s="15" t="n">
        <v>46241</v>
      </c>
      <c r="E514" s="14" t="n">
        <f aca="false">MONTH(D514)</f>
        <v>8</v>
      </c>
      <c r="F514" s="14" t="s">
        <v>44</v>
      </c>
      <c r="G514" s="14" t="s">
        <v>45</v>
      </c>
      <c r="H514" s="14" t="s">
        <v>46</v>
      </c>
      <c r="I514" s="16" t="n">
        <v>547.8</v>
      </c>
      <c r="J514" s="17" t="n">
        <v>0.8539</v>
      </c>
      <c r="K514" s="18" t="n">
        <v>108.93</v>
      </c>
      <c r="L514" s="18" t="n">
        <v>468.12</v>
      </c>
      <c r="M514" s="18" t="n">
        <f aca="false">IF(J514="","",ROUND(MAX(I514*J514,K514),2))</f>
        <v>467.77</v>
      </c>
      <c r="N514" s="18" t="n">
        <f aca="false">IF(M514="","",ROUND(L514-M514,2))</f>
        <v>0.35</v>
      </c>
      <c r="O514" s="19" t="n">
        <f aca="false">IF(M514="","",N514/M514)</f>
        <v>0.000748230968210873</v>
      </c>
      <c r="P514" s="14" t="str">
        <f aca="false">IF(M514="","SEM TARIFA NO CONTRATO",IF(N514&gt;Resumo!$B$4,"ACIMA DA TABELA",IF(N514&lt;-Resumo!$B$4,"ABAIXO DA TABELA","OK")))</f>
        <v>OK</v>
      </c>
    </row>
    <row r="515" customFormat="false" ht="15" hidden="false" customHeight="false" outlineLevel="0" collapsed="false">
      <c r="A515" s="14" t="s">
        <v>1080</v>
      </c>
      <c r="B515" s="14" t="s">
        <v>1081</v>
      </c>
      <c r="C515" s="14" t="s">
        <v>22</v>
      </c>
      <c r="D515" s="15" t="n">
        <v>46241</v>
      </c>
      <c r="E515" s="14" t="n">
        <f aca="false">MONTH(D515)</f>
        <v>8</v>
      </c>
      <c r="F515" s="14" t="s">
        <v>67</v>
      </c>
      <c r="G515" s="14" t="s">
        <v>50</v>
      </c>
      <c r="H515" s="14" t="s">
        <v>68</v>
      </c>
      <c r="I515" s="16" t="n">
        <v>334.1</v>
      </c>
      <c r="J515" s="17" t="n">
        <v>2.1609</v>
      </c>
      <c r="K515" s="18" t="n">
        <v>211.68</v>
      </c>
      <c r="L515" s="18" t="n">
        <v>790.54</v>
      </c>
      <c r="M515" s="18" t="n">
        <f aca="false">IF(J515="","",ROUND(MAX(I515*J515,K515),2))</f>
        <v>721.96</v>
      </c>
      <c r="N515" s="18" t="n">
        <f aca="false">IF(M515="","",ROUND(L515-M515,2))</f>
        <v>68.58</v>
      </c>
      <c r="O515" s="19" t="n">
        <f aca="false">IF(M515="","",N515/M515)</f>
        <v>0.0949914122666076</v>
      </c>
      <c r="P515" s="14" t="str">
        <f aca="false">IF(M515="","SEM TARIFA NO CONTRATO",IF(N515&gt;Resumo!$B$4,"ACIMA DA TABELA",IF(N515&lt;-Resumo!$B$4,"ABAIXO DA TABELA","OK")))</f>
        <v>ACIMA DA TABELA</v>
      </c>
    </row>
    <row r="516" customFormat="false" ht="15" hidden="false" customHeight="false" outlineLevel="0" collapsed="false">
      <c r="A516" s="14" t="s">
        <v>1082</v>
      </c>
      <c r="B516" s="14" t="s">
        <v>1083</v>
      </c>
      <c r="C516" s="14" t="s">
        <v>24</v>
      </c>
      <c r="D516" s="15" t="n">
        <v>46241</v>
      </c>
      <c r="E516" s="14" t="n">
        <f aca="false">MONTH(D516)</f>
        <v>8</v>
      </c>
      <c r="F516" s="14" t="s">
        <v>44</v>
      </c>
      <c r="G516" s="14" t="s">
        <v>45</v>
      </c>
      <c r="H516" s="14" t="s">
        <v>46</v>
      </c>
      <c r="I516" s="16" t="n">
        <v>539.4</v>
      </c>
      <c r="J516" s="17" t="n">
        <v>0.8988</v>
      </c>
      <c r="K516" s="18" t="n">
        <v>114.66</v>
      </c>
      <c r="L516" s="18" t="n">
        <v>484.69</v>
      </c>
      <c r="M516" s="18" t="n">
        <f aca="false">IF(J516="","",ROUND(MAX(I516*J516,K516),2))</f>
        <v>484.81</v>
      </c>
      <c r="N516" s="18" t="n">
        <f aca="false">IF(M516="","",ROUND(L516-M516,2))</f>
        <v>-0.12</v>
      </c>
      <c r="O516" s="19" t="n">
        <f aca="false">IF(M516="","",N516/M516)</f>
        <v>-0.00024751964687197</v>
      </c>
      <c r="P516" s="14" t="str">
        <f aca="false">IF(M516="","SEM TARIFA NO CONTRATO",IF(N516&gt;Resumo!$B$4,"ACIMA DA TABELA",IF(N516&lt;-Resumo!$B$4,"ABAIXO DA TABELA","OK")))</f>
        <v>OK</v>
      </c>
    </row>
    <row r="517" customFormat="false" ht="15" hidden="false" customHeight="false" outlineLevel="0" collapsed="false">
      <c r="A517" s="14" t="s">
        <v>1084</v>
      </c>
      <c r="B517" s="14" t="s">
        <v>1085</v>
      </c>
      <c r="C517" s="14" t="s">
        <v>21</v>
      </c>
      <c r="D517" s="15" t="n">
        <v>46242</v>
      </c>
      <c r="E517" s="14" t="n">
        <f aca="false">MONTH(D517)</f>
        <v>8</v>
      </c>
      <c r="F517" s="14" t="s">
        <v>73</v>
      </c>
      <c r="G517" s="14" t="s">
        <v>50</v>
      </c>
      <c r="H517" s="14" t="s">
        <v>74</v>
      </c>
      <c r="I517" s="16" t="n">
        <v>1329.6</v>
      </c>
      <c r="J517" s="17" t="n">
        <v>1.3213</v>
      </c>
      <c r="K517" s="18" t="n">
        <v>151.07</v>
      </c>
      <c r="L517" s="18" t="n">
        <v>1980.91</v>
      </c>
      <c r="M517" s="18" t="n">
        <f aca="false">IF(J517="","",ROUND(MAX(I517*J517,K517),2))</f>
        <v>1756.8</v>
      </c>
      <c r="N517" s="18" t="n">
        <f aca="false">IF(M517="","",ROUND(L517-M517,2))</f>
        <v>224.11</v>
      </c>
      <c r="O517" s="19" t="n">
        <f aca="false">IF(M517="","",N517/M517)</f>
        <v>0.127567167577414</v>
      </c>
      <c r="P517" s="14" t="str">
        <f aca="false">IF(M517="","SEM TARIFA NO CONTRATO",IF(N517&gt;Resumo!$B$4,"ACIMA DA TABELA",IF(N517&lt;-Resumo!$B$4,"ABAIXO DA TABELA","OK")))</f>
        <v>ACIMA DA TABELA</v>
      </c>
    </row>
    <row r="518" customFormat="false" ht="15" hidden="false" customHeight="false" outlineLevel="0" collapsed="false">
      <c r="A518" s="14" t="s">
        <v>1086</v>
      </c>
      <c r="B518" s="14" t="s">
        <v>1087</v>
      </c>
      <c r="C518" s="14" t="s">
        <v>25</v>
      </c>
      <c r="D518" s="15" t="n">
        <v>46243</v>
      </c>
      <c r="E518" s="14" t="n">
        <f aca="false">MONTH(D518)</f>
        <v>8</v>
      </c>
      <c r="F518" s="14" t="s">
        <v>88</v>
      </c>
      <c r="G518" s="14" t="s">
        <v>50</v>
      </c>
      <c r="H518" s="14" t="s">
        <v>89</v>
      </c>
      <c r="I518" s="16" t="n">
        <v>251.9</v>
      </c>
      <c r="J518" s="17" t="n">
        <v>1.6838</v>
      </c>
      <c r="K518" s="18" t="n">
        <v>171.17</v>
      </c>
      <c r="L518" s="18" t="n">
        <v>424.17</v>
      </c>
      <c r="M518" s="18" t="n">
        <f aca="false">IF(J518="","",ROUND(MAX(I518*J518,K518),2))</f>
        <v>424.15</v>
      </c>
      <c r="N518" s="18" t="n">
        <f aca="false">IF(M518="","",ROUND(L518-M518,2))</f>
        <v>0.02</v>
      </c>
      <c r="O518" s="19" t="n">
        <f aca="false">IF(M518="","",N518/M518)</f>
        <v>4.71531297889898E-005</v>
      </c>
      <c r="P518" s="14" t="str">
        <f aca="false">IF(M518="","SEM TARIFA NO CONTRATO",IF(N518&gt;Resumo!$B$4,"ACIMA DA TABELA",IF(N518&lt;-Resumo!$B$4,"ABAIXO DA TABELA","OK")))</f>
        <v>OK</v>
      </c>
    </row>
    <row r="519" customFormat="false" ht="15" hidden="false" customHeight="false" outlineLevel="0" collapsed="false">
      <c r="A519" s="14" t="s">
        <v>1088</v>
      </c>
      <c r="B519" s="14" t="s">
        <v>1089</v>
      </c>
      <c r="C519" s="14" t="s">
        <v>23</v>
      </c>
      <c r="D519" s="15" t="n">
        <v>46243</v>
      </c>
      <c r="E519" s="14" t="n">
        <f aca="false">MONTH(D519)</f>
        <v>8</v>
      </c>
      <c r="F519" s="14" t="s">
        <v>118</v>
      </c>
      <c r="G519" s="14" t="s">
        <v>50</v>
      </c>
      <c r="H519" s="14" t="s">
        <v>119</v>
      </c>
      <c r="I519" s="16" t="n">
        <v>90.4</v>
      </c>
      <c r="J519" s="17" t="n">
        <v>3.2226</v>
      </c>
      <c r="K519" s="18" t="n">
        <v>285.16</v>
      </c>
      <c r="L519" s="18" t="n">
        <v>291.37</v>
      </c>
      <c r="M519" s="18" t="n">
        <f aca="false">IF(J519="","",ROUND(MAX(I519*J519,K519),2))</f>
        <v>291.32</v>
      </c>
      <c r="N519" s="18" t="n">
        <f aca="false">IF(M519="","",ROUND(L519-M519,2))</f>
        <v>0.05</v>
      </c>
      <c r="O519" s="19" t="n">
        <f aca="false">IF(M519="","",N519/M519)</f>
        <v>0.000171632568996293</v>
      </c>
      <c r="P519" s="14" t="str">
        <f aca="false">IF(M519="","SEM TARIFA NO CONTRATO",IF(N519&gt;Resumo!$B$4,"ACIMA DA TABELA",IF(N519&lt;-Resumo!$B$4,"ABAIXO DA TABELA","OK")))</f>
        <v>OK</v>
      </c>
    </row>
    <row r="520" customFormat="false" ht="15" hidden="false" customHeight="false" outlineLevel="0" collapsed="false">
      <c r="A520" s="14" t="s">
        <v>1090</v>
      </c>
      <c r="B520" s="14" t="s">
        <v>1091</v>
      </c>
      <c r="C520" s="14" t="s">
        <v>25</v>
      </c>
      <c r="D520" s="15" t="n">
        <v>46243</v>
      </c>
      <c r="E520" s="14" t="n">
        <f aca="false">MONTH(D520)</f>
        <v>8</v>
      </c>
      <c r="F520" s="14" t="s">
        <v>79</v>
      </c>
      <c r="G520" s="14" t="s">
        <v>50</v>
      </c>
      <c r="H520" s="14" t="s">
        <v>46</v>
      </c>
      <c r="I520" s="16" t="n">
        <v>1006.2</v>
      </c>
      <c r="J520" s="17" t="n">
        <v>0.3591</v>
      </c>
      <c r="K520" s="18" t="n">
        <v>71.82</v>
      </c>
      <c r="L520" s="18" t="n">
        <v>361.01</v>
      </c>
      <c r="M520" s="18" t="n">
        <f aca="false">IF(J520="","",ROUND(MAX(I520*J520,K520),2))</f>
        <v>361.33</v>
      </c>
      <c r="N520" s="18" t="n">
        <f aca="false">IF(M520="","",ROUND(L520-M520,2))</f>
        <v>-0.32</v>
      </c>
      <c r="O520" s="19" t="n">
        <f aca="false">IF(M520="","",N520/M520)</f>
        <v>-0.000885617025987325</v>
      </c>
      <c r="P520" s="14" t="str">
        <f aca="false">IF(M520="","SEM TARIFA NO CONTRATO",IF(N520&gt;Resumo!$B$4,"ACIMA DA TABELA",IF(N520&lt;-Resumo!$B$4,"ABAIXO DA TABELA","OK")))</f>
        <v>OK</v>
      </c>
    </row>
    <row r="521" customFormat="false" ht="15" hidden="false" customHeight="false" outlineLevel="0" collapsed="false">
      <c r="A521" s="14" t="s">
        <v>1092</v>
      </c>
      <c r="B521" s="14" t="s">
        <v>1093</v>
      </c>
      <c r="C521" s="14" t="s">
        <v>24</v>
      </c>
      <c r="D521" s="15" t="n">
        <v>46244</v>
      </c>
      <c r="E521" s="14" t="n">
        <f aca="false">MONTH(D521)</f>
        <v>8</v>
      </c>
      <c r="F521" s="14" t="s">
        <v>44</v>
      </c>
      <c r="G521" s="14" t="s">
        <v>45</v>
      </c>
      <c r="H521" s="14" t="s">
        <v>46</v>
      </c>
      <c r="I521" s="16" t="n">
        <v>266.7</v>
      </c>
      <c r="J521" s="17" t="n">
        <v>0.8988</v>
      </c>
      <c r="K521" s="18" t="n">
        <v>114.66</v>
      </c>
      <c r="L521" s="18" t="n">
        <v>240.02</v>
      </c>
      <c r="M521" s="18" t="n">
        <f aca="false">IF(J521="","",ROUND(MAX(I521*J521,K521),2))</f>
        <v>239.71</v>
      </c>
      <c r="N521" s="18" t="n">
        <f aca="false">IF(M521="","",ROUND(L521-M521,2))</f>
        <v>0.31</v>
      </c>
      <c r="O521" s="19" t="n">
        <f aca="false">IF(M521="","",N521/M521)</f>
        <v>0.00129322931876017</v>
      </c>
      <c r="P521" s="14" t="str">
        <f aca="false">IF(M521="","SEM TARIFA NO CONTRATO",IF(N521&gt;Resumo!$B$4,"ACIMA DA TABELA",IF(N521&lt;-Resumo!$B$4,"ABAIXO DA TABELA","OK")))</f>
        <v>OK</v>
      </c>
    </row>
    <row r="522" customFormat="false" ht="15" hidden="false" customHeight="false" outlineLevel="0" collapsed="false">
      <c r="A522" s="14" t="s">
        <v>1094</v>
      </c>
      <c r="B522" s="14" t="s">
        <v>1079</v>
      </c>
      <c r="C522" s="14" t="s">
        <v>25</v>
      </c>
      <c r="D522" s="15" t="n">
        <v>46245</v>
      </c>
      <c r="E522" s="14" t="n">
        <f aca="false">MONTH(D522)</f>
        <v>8</v>
      </c>
      <c r="F522" s="14" t="s">
        <v>44</v>
      </c>
      <c r="G522" s="14" t="s">
        <v>45</v>
      </c>
      <c r="H522" s="14" t="s">
        <v>46</v>
      </c>
      <c r="I522" s="16" t="n">
        <v>547.8</v>
      </c>
      <c r="J522" s="17" t="n">
        <v>0.8539</v>
      </c>
      <c r="K522" s="18" t="n">
        <v>108.93</v>
      </c>
      <c r="L522" s="18" t="n">
        <v>468.12</v>
      </c>
      <c r="M522" s="18" t="n">
        <f aca="false">IF(J522="","",ROUND(MAX(I522*J522,K522),2))</f>
        <v>467.77</v>
      </c>
      <c r="N522" s="18" t="n">
        <f aca="false">IF(M522="","",ROUND(L522-M522,2))</f>
        <v>0.35</v>
      </c>
      <c r="O522" s="19" t="n">
        <f aca="false">IF(M522="","",N522/M522)</f>
        <v>0.000748230968210873</v>
      </c>
      <c r="P522" s="14" t="str">
        <f aca="false">IF(M522="","SEM TARIFA NO CONTRATO",IF(N522&gt;Resumo!$B$4,"ACIMA DA TABELA",IF(N522&lt;-Resumo!$B$4,"ABAIXO DA TABELA","OK")))</f>
        <v>OK</v>
      </c>
    </row>
    <row r="523" customFormat="false" ht="15" hidden="false" customHeight="false" outlineLevel="0" collapsed="false">
      <c r="A523" s="14" t="s">
        <v>1095</v>
      </c>
      <c r="B523" s="14" t="s">
        <v>1096</v>
      </c>
      <c r="C523" s="14" t="s">
        <v>24</v>
      </c>
      <c r="D523" s="15" t="n">
        <v>46245</v>
      </c>
      <c r="E523" s="14" t="n">
        <f aca="false">MONTH(D523)</f>
        <v>8</v>
      </c>
      <c r="F523" s="14" t="s">
        <v>79</v>
      </c>
      <c r="G523" s="14" t="s">
        <v>50</v>
      </c>
      <c r="H523" s="14" t="s">
        <v>46</v>
      </c>
      <c r="I523" s="16" t="n">
        <v>161.5</v>
      </c>
      <c r="J523" s="17" t="n">
        <v>0.378</v>
      </c>
      <c r="K523" s="18" t="n">
        <v>75.6</v>
      </c>
      <c r="L523" s="18" t="n">
        <v>75.55</v>
      </c>
      <c r="M523" s="18" t="n">
        <f aca="false">IF(J523="","",ROUND(MAX(I523*J523,K523),2))</f>
        <v>75.6</v>
      </c>
      <c r="N523" s="18" t="n">
        <f aca="false">IF(M523="","",ROUND(L523-M523,2))</f>
        <v>-0.05</v>
      </c>
      <c r="O523" s="19" t="n">
        <f aca="false">IF(M523="","",N523/M523)</f>
        <v>-0.000661375661375661</v>
      </c>
      <c r="P523" s="14" t="str">
        <f aca="false">IF(M523="","SEM TARIFA NO CONTRATO",IF(N523&gt;Resumo!$B$4,"ACIMA DA TABELA",IF(N523&lt;-Resumo!$B$4,"ABAIXO DA TABELA","OK")))</f>
        <v>OK</v>
      </c>
    </row>
    <row r="524" customFormat="false" ht="15" hidden="false" customHeight="false" outlineLevel="0" collapsed="false">
      <c r="A524" s="14" t="s">
        <v>1097</v>
      </c>
      <c r="B524" s="14" t="s">
        <v>1098</v>
      </c>
      <c r="C524" s="14" t="s">
        <v>24</v>
      </c>
      <c r="D524" s="15" t="n">
        <v>46245</v>
      </c>
      <c r="E524" s="14" t="n">
        <f aca="false">MONTH(D524)</f>
        <v>8</v>
      </c>
      <c r="F524" s="14" t="s">
        <v>56</v>
      </c>
      <c r="G524" s="14" t="s">
        <v>50</v>
      </c>
      <c r="H524" s="14" t="s">
        <v>45</v>
      </c>
      <c r="I524" s="16" t="n">
        <v>688.5</v>
      </c>
      <c r="J524" s="17" t="n">
        <v>0.8988</v>
      </c>
      <c r="K524" s="18" t="n">
        <v>114.66</v>
      </c>
      <c r="L524" s="18" t="n">
        <v>619.21</v>
      </c>
      <c r="M524" s="18" t="n">
        <f aca="false">IF(J524="","",ROUND(MAX(I524*J524,K524),2))</f>
        <v>618.82</v>
      </c>
      <c r="N524" s="18" t="n">
        <f aca="false">IF(M524="","",ROUND(L524-M524,2))</f>
        <v>0.39</v>
      </c>
      <c r="O524" s="19" t="n">
        <f aca="false">IF(M524="","",N524/M524)</f>
        <v>0.000630231731359685</v>
      </c>
      <c r="P524" s="14" t="str">
        <f aca="false">IF(M524="","SEM TARIFA NO CONTRATO",IF(N524&gt;Resumo!$B$4,"ACIMA DA TABELA",IF(N524&lt;-Resumo!$B$4,"ABAIXO DA TABELA","OK")))</f>
        <v>OK</v>
      </c>
    </row>
    <row r="525" customFormat="false" ht="15" hidden="false" customHeight="false" outlineLevel="0" collapsed="false">
      <c r="A525" s="14" t="s">
        <v>1099</v>
      </c>
      <c r="B525" s="14" t="s">
        <v>1100</v>
      </c>
      <c r="C525" s="14" t="s">
        <v>24</v>
      </c>
      <c r="D525" s="15" t="n">
        <v>46245</v>
      </c>
      <c r="E525" s="14" t="n">
        <f aca="false">MONTH(D525)</f>
        <v>8</v>
      </c>
      <c r="F525" s="14" t="s">
        <v>67</v>
      </c>
      <c r="G525" s="14" t="s">
        <v>50</v>
      </c>
      <c r="H525" s="14" t="s">
        <v>68</v>
      </c>
      <c r="I525" s="16" t="n">
        <v>696.1</v>
      </c>
      <c r="J525" s="17" t="n">
        <v>2.058</v>
      </c>
      <c r="K525" s="18" t="n">
        <v>201.6</v>
      </c>
      <c r="L525" s="18" t="n">
        <v>1432.95</v>
      </c>
      <c r="M525" s="18" t="n">
        <f aca="false">IF(J525="","",ROUND(MAX(I525*J525,K525),2))</f>
        <v>1432.57</v>
      </c>
      <c r="N525" s="18" t="n">
        <f aca="false">IF(M525="","",ROUND(L525-M525,2))</f>
        <v>0.38</v>
      </c>
      <c r="O525" s="19" t="n">
        <f aca="false">IF(M525="","",N525/M525)</f>
        <v>0.000265257544133969</v>
      </c>
      <c r="P525" s="14" t="str">
        <f aca="false">IF(M525="","SEM TARIFA NO CONTRATO",IF(N525&gt;Resumo!$B$4,"ACIMA DA TABELA",IF(N525&lt;-Resumo!$B$4,"ABAIXO DA TABELA","OK")))</f>
        <v>OK</v>
      </c>
    </row>
    <row r="526" customFormat="false" ht="15" hidden="false" customHeight="false" outlineLevel="0" collapsed="false">
      <c r="A526" s="14" t="s">
        <v>1101</v>
      </c>
      <c r="B526" s="14" t="s">
        <v>1102</v>
      </c>
      <c r="C526" s="14" t="s">
        <v>22</v>
      </c>
      <c r="D526" s="15" t="n">
        <v>46245</v>
      </c>
      <c r="E526" s="14" t="n">
        <f aca="false">MONTH(D526)</f>
        <v>8</v>
      </c>
      <c r="F526" s="14" t="s">
        <v>56</v>
      </c>
      <c r="G526" s="14" t="s">
        <v>50</v>
      </c>
      <c r="H526" s="14" t="s">
        <v>45</v>
      </c>
      <c r="I526" s="16" t="n">
        <v>773.1</v>
      </c>
      <c r="J526" s="17" t="n">
        <v>0.9437</v>
      </c>
      <c r="K526" s="18" t="n">
        <v>120.39</v>
      </c>
      <c r="L526" s="18" t="n">
        <v>798.88</v>
      </c>
      <c r="M526" s="18" t="n">
        <f aca="false">IF(J526="","",ROUND(MAX(I526*J526,K526),2))</f>
        <v>729.57</v>
      </c>
      <c r="N526" s="18" t="n">
        <f aca="false">IF(M526="","",ROUND(L526-M526,2))</f>
        <v>69.31</v>
      </c>
      <c r="O526" s="19" t="n">
        <f aca="false">IF(M526="","",N526/M526)</f>
        <v>0.0950011650698357</v>
      </c>
      <c r="P526" s="14" t="str">
        <f aca="false">IF(M526="","SEM TARIFA NO CONTRATO",IF(N526&gt;Resumo!$B$4,"ACIMA DA TABELA",IF(N526&lt;-Resumo!$B$4,"ABAIXO DA TABELA","OK")))</f>
        <v>ACIMA DA TABELA</v>
      </c>
    </row>
    <row r="527" customFormat="false" ht="15" hidden="false" customHeight="false" outlineLevel="0" collapsed="false">
      <c r="A527" s="14" t="s">
        <v>1103</v>
      </c>
      <c r="B527" s="14" t="s">
        <v>1104</v>
      </c>
      <c r="C527" s="14" t="s">
        <v>22</v>
      </c>
      <c r="D527" s="15" t="n">
        <v>46246</v>
      </c>
      <c r="E527" s="14" t="n">
        <f aca="false">MONTH(D527)</f>
        <v>8</v>
      </c>
      <c r="F527" s="14" t="s">
        <v>56</v>
      </c>
      <c r="G527" s="14" t="s">
        <v>50</v>
      </c>
      <c r="H527" s="14" t="s">
        <v>45</v>
      </c>
      <c r="I527" s="16" t="n">
        <v>657.4</v>
      </c>
      <c r="J527" s="17" t="n">
        <v>0.9437</v>
      </c>
      <c r="K527" s="18" t="n">
        <v>120.39</v>
      </c>
      <c r="L527" s="18" t="n">
        <v>679.33</v>
      </c>
      <c r="M527" s="18" t="n">
        <f aca="false">IF(J527="","",ROUND(MAX(I527*J527,K527),2))</f>
        <v>620.39</v>
      </c>
      <c r="N527" s="18" t="n">
        <f aca="false">IF(M527="","",ROUND(L527-M527,2))</f>
        <v>58.94</v>
      </c>
      <c r="O527" s="19" t="n">
        <f aca="false">IF(M527="","",N527/M527)</f>
        <v>0.0950047550734216</v>
      </c>
      <c r="P527" s="14" t="str">
        <f aca="false">IF(M527="","SEM TARIFA NO CONTRATO",IF(N527&gt;Resumo!$B$4,"ACIMA DA TABELA",IF(N527&lt;-Resumo!$B$4,"ABAIXO DA TABELA","OK")))</f>
        <v>ACIMA DA TABELA</v>
      </c>
    </row>
    <row r="528" customFormat="false" ht="15" hidden="false" customHeight="false" outlineLevel="0" collapsed="false">
      <c r="A528" s="14" t="s">
        <v>1105</v>
      </c>
      <c r="B528" s="14" t="s">
        <v>1106</v>
      </c>
      <c r="C528" s="14" t="s">
        <v>22</v>
      </c>
      <c r="D528" s="15" t="n">
        <v>46247</v>
      </c>
      <c r="E528" s="14" t="n">
        <f aca="false">MONTH(D528)</f>
        <v>8</v>
      </c>
      <c r="F528" s="14" t="s">
        <v>67</v>
      </c>
      <c r="G528" s="14" t="s">
        <v>50</v>
      </c>
      <c r="H528" s="14" t="s">
        <v>68</v>
      </c>
      <c r="I528" s="16" t="n">
        <v>248.4</v>
      </c>
      <c r="J528" s="17" t="n">
        <v>2.1609</v>
      </c>
      <c r="K528" s="18" t="n">
        <v>211.68</v>
      </c>
      <c r="L528" s="18" t="n">
        <v>587.76</v>
      </c>
      <c r="M528" s="18" t="n">
        <f aca="false">IF(J528="","",ROUND(MAX(I528*J528,K528),2))</f>
        <v>536.77</v>
      </c>
      <c r="N528" s="18" t="n">
        <f aca="false">IF(M528="","",ROUND(L528-M528,2))</f>
        <v>50.99</v>
      </c>
      <c r="O528" s="19" t="n">
        <f aca="false">IF(M528="","",N528/M528)</f>
        <v>0.0949941315647298</v>
      </c>
      <c r="P528" s="14" t="str">
        <f aca="false">IF(M528="","SEM TARIFA NO CONTRATO",IF(N528&gt;Resumo!$B$4,"ACIMA DA TABELA",IF(N528&lt;-Resumo!$B$4,"ABAIXO DA TABELA","OK")))</f>
        <v>ACIMA DA TABELA</v>
      </c>
    </row>
    <row r="529" customFormat="false" ht="15" hidden="false" customHeight="false" outlineLevel="0" collapsed="false">
      <c r="A529" s="14" t="s">
        <v>1107</v>
      </c>
      <c r="B529" s="14" t="s">
        <v>1108</v>
      </c>
      <c r="C529" s="14" t="s">
        <v>25</v>
      </c>
      <c r="D529" s="15" t="n">
        <v>46248</v>
      </c>
      <c r="E529" s="14" t="n">
        <f aca="false">MONTH(D529)</f>
        <v>8</v>
      </c>
      <c r="F529" s="14" t="s">
        <v>79</v>
      </c>
      <c r="G529" s="14" t="s">
        <v>50</v>
      </c>
      <c r="H529" s="14" t="s">
        <v>46</v>
      </c>
      <c r="I529" s="16" t="n">
        <v>188.1</v>
      </c>
      <c r="J529" s="17" t="n">
        <v>0.3591</v>
      </c>
      <c r="K529" s="18" t="n">
        <v>71.82</v>
      </c>
      <c r="L529" s="18" t="n">
        <v>71.74</v>
      </c>
      <c r="M529" s="18" t="n">
        <f aca="false">IF(J529="","",ROUND(MAX(I529*J529,K529),2))</f>
        <v>71.82</v>
      </c>
      <c r="N529" s="18" t="n">
        <f aca="false">IF(M529="","",ROUND(L529-M529,2))</f>
        <v>-0.08</v>
      </c>
      <c r="O529" s="19" t="n">
        <f aca="false">IF(M529="","",N529/M529)</f>
        <v>-0.00111389585073796</v>
      </c>
      <c r="P529" s="14" t="str">
        <f aca="false">IF(M529="","SEM TARIFA NO CONTRATO",IF(N529&gt;Resumo!$B$4,"ACIMA DA TABELA",IF(N529&lt;-Resumo!$B$4,"ABAIXO DA TABELA","OK")))</f>
        <v>OK</v>
      </c>
    </row>
    <row r="530" customFormat="false" ht="15" hidden="false" customHeight="false" outlineLevel="0" collapsed="false">
      <c r="A530" s="14" t="s">
        <v>1109</v>
      </c>
      <c r="B530" s="14" t="s">
        <v>1110</v>
      </c>
      <c r="C530" s="14" t="s">
        <v>24</v>
      </c>
      <c r="D530" s="15" t="n">
        <v>46248</v>
      </c>
      <c r="E530" s="14" t="n">
        <f aca="false">MONTH(D530)</f>
        <v>8</v>
      </c>
      <c r="F530" s="14" t="s">
        <v>44</v>
      </c>
      <c r="G530" s="14" t="s">
        <v>45</v>
      </c>
      <c r="H530" s="14" t="s">
        <v>46</v>
      </c>
      <c r="I530" s="16" t="n">
        <v>453.8</v>
      </c>
      <c r="J530" s="17" t="n">
        <v>0.8988</v>
      </c>
      <c r="K530" s="18" t="n">
        <v>114.66</v>
      </c>
      <c r="L530" s="18" t="n">
        <v>407.78</v>
      </c>
      <c r="M530" s="18" t="n">
        <f aca="false">IF(J530="","",ROUND(MAX(I530*J530,K530),2))</f>
        <v>407.88</v>
      </c>
      <c r="N530" s="18" t="n">
        <f aca="false">IF(M530="","",ROUND(L530-M530,2))</f>
        <v>-0.1</v>
      </c>
      <c r="O530" s="19" t="n">
        <f aca="false">IF(M530="","",N530/M530)</f>
        <v>-0.00024517014808277</v>
      </c>
      <c r="P530" s="14" t="str">
        <f aca="false">IF(M530="","SEM TARIFA NO CONTRATO",IF(N530&gt;Resumo!$B$4,"ACIMA DA TABELA",IF(N530&lt;-Resumo!$B$4,"ABAIXO DA TABELA","OK")))</f>
        <v>OK</v>
      </c>
    </row>
    <row r="531" customFormat="false" ht="15" hidden="false" customHeight="false" outlineLevel="0" collapsed="false">
      <c r="A531" s="14" t="s">
        <v>1111</v>
      </c>
      <c r="B531" s="14" t="s">
        <v>1112</v>
      </c>
      <c r="C531" s="14" t="s">
        <v>25</v>
      </c>
      <c r="D531" s="15" t="n">
        <v>46249</v>
      </c>
      <c r="E531" s="14" t="n">
        <f aca="false">MONTH(D531)</f>
        <v>8</v>
      </c>
      <c r="F531" s="14" t="s">
        <v>88</v>
      </c>
      <c r="G531" s="14" t="s">
        <v>50</v>
      </c>
      <c r="H531" s="14" t="s">
        <v>89</v>
      </c>
      <c r="I531" s="16" t="n">
        <v>233.8</v>
      </c>
      <c r="J531" s="17" t="n">
        <v>1.6838</v>
      </c>
      <c r="K531" s="18" t="n">
        <v>171.17</v>
      </c>
      <c r="L531" s="18" t="n">
        <v>393.74</v>
      </c>
      <c r="M531" s="18" t="n">
        <f aca="false">IF(J531="","",ROUND(MAX(I531*J531,K531),2))</f>
        <v>393.67</v>
      </c>
      <c r="N531" s="18" t="n">
        <f aca="false">IF(M531="","",ROUND(L531-M531,2))</f>
        <v>0.07</v>
      </c>
      <c r="O531" s="19" t="n">
        <f aca="false">IF(M531="","",N531/M531)</f>
        <v>0.000177813905047375</v>
      </c>
      <c r="P531" s="14" t="str">
        <f aca="false">IF(M531="","SEM TARIFA NO CONTRATO",IF(N531&gt;Resumo!$B$4,"ACIMA DA TABELA",IF(N531&lt;-Resumo!$B$4,"ABAIXO DA TABELA","OK")))</f>
        <v>OK</v>
      </c>
    </row>
    <row r="532" customFormat="false" ht="15" hidden="false" customHeight="false" outlineLevel="0" collapsed="false">
      <c r="A532" s="14" t="s">
        <v>1113</v>
      </c>
      <c r="B532" s="14" t="s">
        <v>1114</v>
      </c>
      <c r="C532" s="14" t="s">
        <v>23</v>
      </c>
      <c r="D532" s="15" t="n">
        <v>46249</v>
      </c>
      <c r="E532" s="14" t="n">
        <f aca="false">MONTH(D532)</f>
        <v>8</v>
      </c>
      <c r="F532" s="14" t="s">
        <v>88</v>
      </c>
      <c r="G532" s="14" t="s">
        <v>50</v>
      </c>
      <c r="H532" s="14" t="s">
        <v>89</v>
      </c>
      <c r="I532" s="16" t="n">
        <v>616.8</v>
      </c>
      <c r="J532" s="17" t="n">
        <v>1.6306</v>
      </c>
      <c r="K532" s="18" t="n">
        <v>165.76</v>
      </c>
      <c r="L532" s="18" t="n">
        <v>1006.12</v>
      </c>
      <c r="M532" s="18" t="n">
        <f aca="false">IF(J532="","",ROUND(MAX(I532*J532,K532),2))</f>
        <v>1005.75</v>
      </c>
      <c r="N532" s="18" t="n">
        <f aca="false">IF(M532="","",ROUND(L532-M532,2))</f>
        <v>0.37</v>
      </c>
      <c r="O532" s="19" t="n">
        <f aca="false">IF(M532="","",N532/M532)</f>
        <v>0.000367884663186677</v>
      </c>
      <c r="P532" s="14" t="str">
        <f aca="false">IF(M532="","SEM TARIFA NO CONTRATO",IF(N532&gt;Resumo!$B$4,"ACIMA DA TABELA",IF(N532&lt;-Resumo!$B$4,"ABAIXO DA TABELA","OK")))</f>
        <v>OK</v>
      </c>
    </row>
    <row r="533" customFormat="false" ht="15" hidden="false" customHeight="false" outlineLevel="0" collapsed="false">
      <c r="A533" s="14" t="s">
        <v>1115</v>
      </c>
      <c r="B533" s="14" t="s">
        <v>1116</v>
      </c>
      <c r="C533" s="14" t="s">
        <v>21</v>
      </c>
      <c r="D533" s="15" t="n">
        <v>46249</v>
      </c>
      <c r="E533" s="14" t="n">
        <f aca="false">MONTH(D533)</f>
        <v>8</v>
      </c>
      <c r="F533" s="14" t="s">
        <v>73</v>
      </c>
      <c r="G533" s="14" t="s">
        <v>50</v>
      </c>
      <c r="H533" s="14" t="s">
        <v>74</v>
      </c>
      <c r="I533" s="16" t="n">
        <v>2314.1</v>
      </c>
      <c r="J533" s="17" t="n">
        <v>1.3213</v>
      </c>
      <c r="K533" s="18" t="n">
        <v>151.07</v>
      </c>
      <c r="L533" s="18" t="n">
        <v>3057.91</v>
      </c>
      <c r="M533" s="18" t="n">
        <f aca="false">IF(J533="","",ROUND(MAX(I533*J533,K533),2))</f>
        <v>3057.62</v>
      </c>
      <c r="N533" s="18" t="n">
        <f aca="false">IF(M533="","",ROUND(L533-M533,2))</f>
        <v>0.29</v>
      </c>
      <c r="O533" s="19" t="n">
        <f aca="false">IF(M533="","",N533/M533)</f>
        <v>9.48450101713097E-005</v>
      </c>
      <c r="P533" s="14" t="str">
        <f aca="false">IF(M533="","SEM TARIFA NO CONTRATO",IF(N533&gt;Resumo!$B$4,"ACIMA DA TABELA",IF(N533&lt;-Resumo!$B$4,"ABAIXO DA TABELA","OK")))</f>
        <v>OK</v>
      </c>
    </row>
    <row r="534" customFormat="false" ht="15" hidden="false" customHeight="false" outlineLevel="0" collapsed="false">
      <c r="A534" s="14" t="s">
        <v>1117</v>
      </c>
      <c r="B534" s="14" t="s">
        <v>1118</v>
      </c>
      <c r="C534" s="14" t="s">
        <v>22</v>
      </c>
      <c r="D534" s="15" t="n">
        <v>46249</v>
      </c>
      <c r="E534" s="14" t="n">
        <f aca="false">MONTH(D534)</f>
        <v>8</v>
      </c>
      <c r="F534" s="14" t="s">
        <v>67</v>
      </c>
      <c r="G534" s="14" t="s">
        <v>50</v>
      </c>
      <c r="H534" s="14" t="s">
        <v>68</v>
      </c>
      <c r="I534" s="16" t="n">
        <v>2748.1</v>
      </c>
      <c r="J534" s="17" t="n">
        <v>2.1609</v>
      </c>
      <c r="K534" s="18" t="n">
        <v>211.68</v>
      </c>
      <c r="L534" s="18" t="n">
        <v>6502.51</v>
      </c>
      <c r="M534" s="18" t="n">
        <f aca="false">IF(J534="","",ROUND(MAX(I534*J534,K534),2))</f>
        <v>5938.37</v>
      </c>
      <c r="N534" s="18" t="n">
        <f aca="false">IF(M534="","",ROUND(L534-M534,2))</f>
        <v>564.14</v>
      </c>
      <c r="O534" s="19" t="n">
        <f aca="false">IF(M534="","",N534/M534)</f>
        <v>0.0949991327586526</v>
      </c>
      <c r="P534" s="14" t="str">
        <f aca="false">IF(M534="","SEM TARIFA NO CONTRATO",IF(N534&gt;Resumo!$B$4,"ACIMA DA TABELA",IF(N534&lt;-Resumo!$B$4,"ABAIXO DA TABELA","OK")))</f>
        <v>ACIMA DA TABELA</v>
      </c>
    </row>
    <row r="535" customFormat="false" ht="15" hidden="false" customHeight="false" outlineLevel="0" collapsed="false">
      <c r="A535" s="14" t="s">
        <v>1119</v>
      </c>
      <c r="B535" s="14" t="s">
        <v>1120</v>
      </c>
      <c r="C535" s="14" t="s">
        <v>24</v>
      </c>
      <c r="D535" s="15" t="n">
        <v>46250</v>
      </c>
      <c r="E535" s="14" t="n">
        <f aca="false">MONTH(D535)</f>
        <v>8</v>
      </c>
      <c r="F535" s="14" t="s">
        <v>44</v>
      </c>
      <c r="G535" s="14" t="s">
        <v>45</v>
      </c>
      <c r="H535" s="14" t="s">
        <v>46</v>
      </c>
      <c r="I535" s="16" t="n">
        <v>589.3</v>
      </c>
      <c r="J535" s="17" t="n">
        <v>0.8988</v>
      </c>
      <c r="K535" s="18" t="n">
        <v>114.66</v>
      </c>
      <c r="L535" s="18" t="n">
        <v>529.48</v>
      </c>
      <c r="M535" s="18" t="n">
        <f aca="false">IF(J535="","",ROUND(MAX(I535*J535,K535),2))</f>
        <v>529.66</v>
      </c>
      <c r="N535" s="18" t="n">
        <f aca="false">IF(M535="","",ROUND(L535-M535,2))</f>
        <v>-0.18</v>
      </c>
      <c r="O535" s="19" t="n">
        <f aca="false">IF(M535="","",N535/M535)</f>
        <v>-0.000339840652494053</v>
      </c>
      <c r="P535" s="14" t="str">
        <f aca="false">IF(M535="","SEM TARIFA NO CONTRATO",IF(N535&gt;Resumo!$B$4,"ACIMA DA TABELA",IF(N535&lt;-Resumo!$B$4,"ABAIXO DA TABELA","OK")))</f>
        <v>OK</v>
      </c>
    </row>
    <row r="536" customFormat="false" ht="15" hidden="false" customHeight="false" outlineLevel="0" collapsed="false">
      <c r="A536" s="14" t="s">
        <v>1121</v>
      </c>
      <c r="B536" s="14" t="s">
        <v>1122</v>
      </c>
      <c r="C536" s="14" t="s">
        <v>21</v>
      </c>
      <c r="D536" s="15" t="n">
        <v>46250</v>
      </c>
      <c r="E536" s="14" t="n">
        <f aca="false">MONTH(D536)</f>
        <v>8</v>
      </c>
      <c r="F536" s="14" t="s">
        <v>67</v>
      </c>
      <c r="G536" s="14" t="s">
        <v>50</v>
      </c>
      <c r="H536" s="14" t="s">
        <v>68</v>
      </c>
      <c r="I536" s="16" t="n">
        <v>1095.5</v>
      </c>
      <c r="J536" s="17" t="n">
        <v>2.2638</v>
      </c>
      <c r="K536" s="18" t="n">
        <v>221.76</v>
      </c>
      <c r="L536" s="18" t="n">
        <v>2918.14</v>
      </c>
      <c r="M536" s="18" t="n">
        <f aca="false">IF(J536="","",ROUND(MAX(I536*J536,K536),2))</f>
        <v>2479.99</v>
      </c>
      <c r="N536" s="18" t="n">
        <f aca="false">IF(M536="","",ROUND(L536-M536,2))</f>
        <v>438.15</v>
      </c>
      <c r="O536" s="19" t="n">
        <f aca="false">IF(M536="","",N536/M536)</f>
        <v>0.176674099492337</v>
      </c>
      <c r="P536" s="14" t="str">
        <f aca="false">IF(M536="","SEM TARIFA NO CONTRATO",IF(N536&gt;Resumo!$B$4,"ACIMA DA TABELA",IF(N536&lt;-Resumo!$B$4,"ABAIXO DA TABELA","OK")))</f>
        <v>ACIMA DA TABELA</v>
      </c>
    </row>
    <row r="537" customFormat="false" ht="15" hidden="false" customHeight="false" outlineLevel="0" collapsed="false">
      <c r="A537" s="14" t="s">
        <v>1123</v>
      </c>
      <c r="B537" s="14" t="s">
        <v>1124</v>
      </c>
      <c r="C537" s="14" t="s">
        <v>23</v>
      </c>
      <c r="D537" s="15" t="n">
        <v>46250</v>
      </c>
      <c r="E537" s="14" t="n">
        <f aca="false">MONTH(D537)</f>
        <v>8</v>
      </c>
      <c r="F537" s="14" t="s">
        <v>118</v>
      </c>
      <c r="G537" s="14" t="s">
        <v>50</v>
      </c>
      <c r="H537" s="14" t="s">
        <v>119</v>
      </c>
      <c r="I537" s="16" t="n">
        <v>571.5</v>
      </c>
      <c r="J537" s="17" t="n">
        <v>3.2226</v>
      </c>
      <c r="K537" s="18" t="n">
        <v>285.16</v>
      </c>
      <c r="L537" s="18" t="n">
        <v>1841.68</v>
      </c>
      <c r="M537" s="18" t="n">
        <f aca="false">IF(J537="","",ROUND(MAX(I537*J537,K537),2))</f>
        <v>1841.72</v>
      </c>
      <c r="N537" s="18" t="n">
        <f aca="false">IF(M537="","",ROUND(L537-M537,2))</f>
        <v>-0.04</v>
      </c>
      <c r="O537" s="19" t="n">
        <f aca="false">IF(M537="","",N537/M537)</f>
        <v>-2.17188280520383E-005</v>
      </c>
      <c r="P537" s="14" t="str">
        <f aca="false">IF(M537="","SEM TARIFA NO CONTRATO",IF(N537&gt;Resumo!$B$4,"ACIMA DA TABELA",IF(N537&lt;-Resumo!$B$4,"ABAIXO DA TABELA","OK")))</f>
        <v>OK</v>
      </c>
    </row>
    <row r="538" customFormat="false" ht="15" hidden="false" customHeight="false" outlineLevel="0" collapsed="false">
      <c r="A538" s="14" t="s">
        <v>1125</v>
      </c>
      <c r="B538" s="14" t="s">
        <v>1126</v>
      </c>
      <c r="C538" s="14" t="s">
        <v>21</v>
      </c>
      <c r="D538" s="15" t="n">
        <v>46252</v>
      </c>
      <c r="E538" s="14" t="n">
        <f aca="false">MONTH(D538)</f>
        <v>8</v>
      </c>
      <c r="F538" s="14" t="s">
        <v>88</v>
      </c>
      <c r="G538" s="14" t="s">
        <v>50</v>
      </c>
      <c r="H538" s="14" t="s">
        <v>89</v>
      </c>
      <c r="I538" s="16" t="n">
        <v>287.2</v>
      </c>
      <c r="J538" s="17" t="n">
        <v>1.9496</v>
      </c>
      <c r="K538" s="18" t="n">
        <v>198.2</v>
      </c>
      <c r="L538" s="18" t="n">
        <v>560.3</v>
      </c>
      <c r="M538" s="18" t="n">
        <f aca="false">IF(J538="","",ROUND(MAX(I538*J538,K538),2))</f>
        <v>559.93</v>
      </c>
      <c r="N538" s="18" t="n">
        <f aca="false">IF(M538="","",ROUND(L538-M538,2))</f>
        <v>0.37</v>
      </c>
      <c r="O538" s="19" t="n">
        <f aca="false">IF(M538="","",N538/M538)</f>
        <v>0.000660796885324951</v>
      </c>
      <c r="P538" s="14" t="str">
        <f aca="false">IF(M538="","SEM TARIFA NO CONTRATO",IF(N538&gt;Resumo!$B$4,"ACIMA DA TABELA",IF(N538&lt;-Resumo!$B$4,"ABAIXO DA TABELA","OK")))</f>
        <v>OK</v>
      </c>
    </row>
    <row r="539" customFormat="false" ht="15" hidden="false" customHeight="false" outlineLevel="0" collapsed="false">
      <c r="A539" s="14" t="s">
        <v>1127</v>
      </c>
      <c r="B539" s="14" t="s">
        <v>1128</v>
      </c>
      <c r="C539" s="14" t="s">
        <v>24</v>
      </c>
      <c r="D539" s="15" t="n">
        <v>46253</v>
      </c>
      <c r="E539" s="14" t="n">
        <f aca="false">MONTH(D539)</f>
        <v>8</v>
      </c>
      <c r="F539" s="14" t="s">
        <v>61</v>
      </c>
      <c r="G539" s="14" t="s">
        <v>50</v>
      </c>
      <c r="H539" s="14" t="s">
        <v>62</v>
      </c>
      <c r="I539" s="16" t="n">
        <v>1485.5</v>
      </c>
      <c r="J539" s="17" t="n">
        <v>1.05</v>
      </c>
      <c r="K539" s="18" t="n">
        <v>126</v>
      </c>
      <c r="L539" s="18" t="n">
        <v>1559.99</v>
      </c>
      <c r="M539" s="18" t="n">
        <f aca="false">IF(J539="","",ROUND(MAX(I539*J539,K539),2))</f>
        <v>1559.78</v>
      </c>
      <c r="N539" s="18" t="n">
        <f aca="false">IF(M539="","",ROUND(L539-M539,2))</f>
        <v>0.21</v>
      </c>
      <c r="O539" s="19" t="n">
        <f aca="false">IF(M539="","",N539/M539)</f>
        <v>0.000134634371513931</v>
      </c>
      <c r="P539" s="14" t="str">
        <f aca="false">IF(M539="","SEM TARIFA NO CONTRATO",IF(N539&gt;Resumo!$B$4,"ACIMA DA TABELA",IF(N539&lt;-Resumo!$B$4,"ABAIXO DA TABELA","OK")))</f>
        <v>OK</v>
      </c>
    </row>
    <row r="540" customFormat="false" ht="15" hidden="false" customHeight="false" outlineLevel="0" collapsed="false">
      <c r="A540" s="14" t="s">
        <v>1129</v>
      </c>
      <c r="B540" s="14" t="s">
        <v>1130</v>
      </c>
      <c r="C540" s="14" t="s">
        <v>24</v>
      </c>
      <c r="D540" s="15" t="n">
        <v>46253</v>
      </c>
      <c r="E540" s="14" t="n">
        <f aca="false">MONTH(D540)</f>
        <v>8</v>
      </c>
      <c r="F540" s="14" t="s">
        <v>73</v>
      </c>
      <c r="G540" s="14" t="s">
        <v>50</v>
      </c>
      <c r="H540" s="14" t="s">
        <v>74</v>
      </c>
      <c r="I540" s="16" t="n">
        <v>481.8</v>
      </c>
      <c r="J540" s="17" t="n">
        <v>1.2012</v>
      </c>
      <c r="K540" s="18" t="n">
        <v>137.34</v>
      </c>
      <c r="L540" s="18" t="n">
        <v>579.09</v>
      </c>
      <c r="M540" s="18" t="n">
        <f aca="false">IF(J540="","",ROUND(MAX(I540*J540,K540),2))</f>
        <v>578.74</v>
      </c>
      <c r="N540" s="18" t="n">
        <f aca="false">IF(M540="","",ROUND(L540-M540,2))</f>
        <v>0.35</v>
      </c>
      <c r="O540" s="19" t="n">
        <f aca="false">IF(M540="","",N540/M540)</f>
        <v>0.000604762069323012</v>
      </c>
      <c r="P540" s="14" t="str">
        <f aca="false">IF(M540="","SEM TARIFA NO CONTRATO",IF(N540&gt;Resumo!$B$4,"ACIMA DA TABELA",IF(N540&lt;-Resumo!$B$4,"ABAIXO DA TABELA","OK")))</f>
        <v>OK</v>
      </c>
    </row>
    <row r="541" customFormat="false" ht="15" hidden="false" customHeight="false" outlineLevel="0" collapsed="false">
      <c r="A541" s="14" t="s">
        <v>1131</v>
      </c>
      <c r="B541" s="14" t="s">
        <v>1132</v>
      </c>
      <c r="C541" s="14" t="s">
        <v>21</v>
      </c>
      <c r="D541" s="15" t="n">
        <v>46253</v>
      </c>
      <c r="E541" s="14" t="n">
        <f aca="false">MONTH(D541)</f>
        <v>8</v>
      </c>
      <c r="F541" s="14" t="s">
        <v>61</v>
      </c>
      <c r="G541" s="14" t="s">
        <v>50</v>
      </c>
      <c r="H541" s="14" t="s">
        <v>62</v>
      </c>
      <c r="I541" s="16" t="n">
        <v>419.8</v>
      </c>
      <c r="J541" s="17" t="n">
        <v>1.155</v>
      </c>
      <c r="K541" s="18" t="n">
        <v>138.6</v>
      </c>
      <c r="L541" s="18" t="n">
        <v>455.24</v>
      </c>
      <c r="M541" s="18" t="n">
        <f aca="false">IF(J541="","",ROUND(MAX(I541*J541,K541),2))</f>
        <v>484.87</v>
      </c>
      <c r="N541" s="18" t="n">
        <f aca="false">IF(M541="","",ROUND(L541-M541,2))</f>
        <v>-29.63</v>
      </c>
      <c r="O541" s="19" t="n">
        <f aca="false">IF(M541="","",N541/M541)</f>
        <v>-0.0611091632808794</v>
      </c>
      <c r="P541" s="14" t="str">
        <f aca="false">IF(M541="","SEM TARIFA NO CONTRATO",IF(N541&gt;Resumo!$B$4,"ACIMA DA TABELA",IF(N541&lt;-Resumo!$B$4,"ABAIXO DA TABELA","OK")))</f>
        <v>ABAIXO DA TABELA</v>
      </c>
    </row>
    <row r="542" customFormat="false" ht="15" hidden="false" customHeight="false" outlineLevel="0" collapsed="false">
      <c r="A542" s="14" t="s">
        <v>1133</v>
      </c>
      <c r="B542" s="14" t="s">
        <v>1134</v>
      </c>
      <c r="C542" s="14" t="s">
        <v>24</v>
      </c>
      <c r="D542" s="15" t="n">
        <v>46253</v>
      </c>
      <c r="E542" s="14" t="n">
        <f aca="false">MONTH(D542)</f>
        <v>8</v>
      </c>
      <c r="F542" s="14" t="s">
        <v>44</v>
      </c>
      <c r="G542" s="14" t="s">
        <v>45</v>
      </c>
      <c r="H542" s="14" t="s">
        <v>46</v>
      </c>
      <c r="I542" s="16" t="n">
        <v>617.9</v>
      </c>
      <c r="J542" s="17" t="n">
        <v>0.8988</v>
      </c>
      <c r="K542" s="18" t="n">
        <v>114.66</v>
      </c>
      <c r="L542" s="18" t="n">
        <v>555.53</v>
      </c>
      <c r="M542" s="18" t="n">
        <f aca="false">IF(J542="","",ROUND(MAX(I542*J542,K542),2))</f>
        <v>555.37</v>
      </c>
      <c r="N542" s="18" t="n">
        <f aca="false">IF(M542="","",ROUND(L542-M542,2))</f>
        <v>0.16</v>
      </c>
      <c r="O542" s="19" t="n">
        <f aca="false">IF(M542="","",N542/M542)</f>
        <v>0.000288096224138862</v>
      </c>
      <c r="P542" s="14" t="str">
        <f aca="false">IF(M542="","SEM TARIFA NO CONTRATO",IF(N542&gt;Resumo!$B$4,"ACIMA DA TABELA",IF(N542&lt;-Resumo!$B$4,"ABAIXO DA TABELA","OK")))</f>
        <v>OK</v>
      </c>
    </row>
    <row r="543" customFormat="false" ht="15" hidden="false" customHeight="false" outlineLevel="0" collapsed="false">
      <c r="A543" s="14" t="s">
        <v>1135</v>
      </c>
      <c r="B543" s="14" t="s">
        <v>1136</v>
      </c>
      <c r="C543" s="14" t="s">
        <v>23</v>
      </c>
      <c r="D543" s="15" t="n">
        <v>46254</v>
      </c>
      <c r="E543" s="14" t="n">
        <f aca="false">MONTH(D543)</f>
        <v>8</v>
      </c>
      <c r="F543" s="14" t="s">
        <v>56</v>
      </c>
      <c r="G543" s="14" t="s">
        <v>50</v>
      </c>
      <c r="H543" s="14" t="s">
        <v>45</v>
      </c>
      <c r="I543" s="16" t="n">
        <v>329.4</v>
      </c>
      <c r="J543" s="17" t="n">
        <v>0.8269</v>
      </c>
      <c r="K543" s="18" t="n">
        <v>105.48</v>
      </c>
      <c r="L543" s="18" t="n">
        <v>272.08</v>
      </c>
      <c r="M543" s="18" t="n">
        <f aca="false">IF(J543="","",ROUND(MAX(I543*J543,K543),2))</f>
        <v>272.38</v>
      </c>
      <c r="N543" s="18" t="n">
        <f aca="false">IF(M543="","",ROUND(L543-M543,2))</f>
        <v>-0.3</v>
      </c>
      <c r="O543" s="19" t="n">
        <f aca="false">IF(M543="","",N543/M543)</f>
        <v>-0.00110140245245613</v>
      </c>
      <c r="P543" s="14" t="str">
        <f aca="false">IF(M543="","SEM TARIFA NO CONTRATO",IF(N543&gt;Resumo!$B$4,"ACIMA DA TABELA",IF(N543&lt;-Resumo!$B$4,"ABAIXO DA TABELA","OK")))</f>
        <v>OK</v>
      </c>
    </row>
    <row r="544" customFormat="false" ht="15" hidden="false" customHeight="false" outlineLevel="0" collapsed="false">
      <c r="A544" s="14" t="s">
        <v>1137</v>
      </c>
      <c r="B544" s="14" t="s">
        <v>1138</v>
      </c>
      <c r="C544" s="14" t="s">
        <v>24</v>
      </c>
      <c r="D544" s="15" t="n">
        <v>46254</v>
      </c>
      <c r="E544" s="14" t="n">
        <f aca="false">MONTH(D544)</f>
        <v>8</v>
      </c>
      <c r="F544" s="14" t="s">
        <v>44</v>
      </c>
      <c r="G544" s="14" t="s">
        <v>45</v>
      </c>
      <c r="H544" s="14" t="s">
        <v>46</v>
      </c>
      <c r="I544" s="16" t="n">
        <v>138.9</v>
      </c>
      <c r="J544" s="17" t="n">
        <v>0.8988</v>
      </c>
      <c r="K544" s="18" t="n">
        <v>114.66</v>
      </c>
      <c r="L544" s="18" t="n">
        <v>124.59</v>
      </c>
      <c r="M544" s="18" t="n">
        <f aca="false">IF(J544="","",ROUND(MAX(I544*J544,K544),2))</f>
        <v>124.84</v>
      </c>
      <c r="N544" s="18" t="n">
        <f aca="false">IF(M544="","",ROUND(L544-M544,2))</f>
        <v>-0.25</v>
      </c>
      <c r="O544" s="19" t="n">
        <f aca="false">IF(M544="","",N544/M544)</f>
        <v>-0.00200256328099968</v>
      </c>
      <c r="P544" s="14" t="str">
        <f aca="false">IF(M544="","SEM TARIFA NO CONTRATO",IF(N544&gt;Resumo!$B$4,"ACIMA DA TABELA",IF(N544&lt;-Resumo!$B$4,"ABAIXO DA TABELA","OK")))</f>
        <v>OK</v>
      </c>
    </row>
    <row r="545" customFormat="false" ht="15" hidden="false" customHeight="false" outlineLevel="0" collapsed="false">
      <c r="A545" s="14" t="s">
        <v>1139</v>
      </c>
      <c r="B545" s="14" t="s">
        <v>1140</v>
      </c>
      <c r="C545" s="14" t="s">
        <v>23</v>
      </c>
      <c r="D545" s="15" t="n">
        <v>46256</v>
      </c>
      <c r="E545" s="14" t="n">
        <f aca="false">MONTH(D545)</f>
        <v>8</v>
      </c>
      <c r="F545" s="14" t="s">
        <v>79</v>
      </c>
      <c r="G545" s="14" t="s">
        <v>50</v>
      </c>
      <c r="H545" s="14" t="s">
        <v>46</v>
      </c>
      <c r="I545" s="16" t="n">
        <v>171.2</v>
      </c>
      <c r="J545" s="17" t="n">
        <v>0.3478</v>
      </c>
      <c r="K545" s="18" t="n">
        <v>69.55</v>
      </c>
      <c r="L545" s="18" t="n">
        <v>69.57</v>
      </c>
      <c r="M545" s="18" t="n">
        <f aca="false">IF(J545="","",ROUND(MAX(I545*J545,K545),2))</f>
        <v>69.55</v>
      </c>
      <c r="N545" s="18" t="n">
        <f aca="false">IF(M545="","",ROUND(L545-M545,2))</f>
        <v>0.02</v>
      </c>
      <c r="O545" s="19" t="n">
        <f aca="false">IF(M545="","",N545/M545)</f>
        <v>0.000287562904385334</v>
      </c>
      <c r="P545" s="14" t="str">
        <f aca="false">IF(M545="","SEM TARIFA NO CONTRATO",IF(N545&gt;Resumo!$B$4,"ACIMA DA TABELA",IF(N545&lt;-Resumo!$B$4,"ABAIXO DA TABELA","OK")))</f>
        <v>OK</v>
      </c>
    </row>
    <row r="546" customFormat="false" ht="15" hidden="false" customHeight="false" outlineLevel="0" collapsed="false">
      <c r="A546" s="14" t="s">
        <v>1141</v>
      </c>
      <c r="B546" s="14" t="s">
        <v>1142</v>
      </c>
      <c r="C546" s="14" t="s">
        <v>22</v>
      </c>
      <c r="D546" s="15" t="n">
        <v>46256</v>
      </c>
      <c r="E546" s="14" t="n">
        <f aca="false">MONTH(D546)</f>
        <v>8</v>
      </c>
      <c r="F546" s="14" t="s">
        <v>49</v>
      </c>
      <c r="G546" s="14" t="s">
        <v>50</v>
      </c>
      <c r="H546" s="14" t="s">
        <v>51</v>
      </c>
      <c r="I546" s="16" t="n">
        <v>310.6</v>
      </c>
      <c r="J546" s="17" t="n">
        <v>4.8951</v>
      </c>
      <c r="K546" s="18" t="n">
        <v>416.75</v>
      </c>
      <c r="L546" s="18" t="n">
        <v>1664.86</v>
      </c>
      <c r="M546" s="18" t="n">
        <f aca="false">IF(J546="","",ROUND(MAX(I546*J546,K546),2))</f>
        <v>1520.42</v>
      </c>
      <c r="N546" s="18" t="n">
        <f aca="false">IF(M546="","",ROUND(L546-M546,2))</f>
        <v>144.44</v>
      </c>
      <c r="O546" s="19" t="n">
        <f aca="false">IF(M546="","",N546/M546)</f>
        <v>0.0950000657713</v>
      </c>
      <c r="P546" s="14" t="str">
        <f aca="false">IF(M546="","SEM TARIFA NO CONTRATO",IF(N546&gt;Resumo!$B$4,"ACIMA DA TABELA",IF(N546&lt;-Resumo!$B$4,"ABAIXO DA TABELA","OK")))</f>
        <v>ACIMA DA TABELA</v>
      </c>
    </row>
    <row r="547" customFormat="false" ht="15" hidden="false" customHeight="false" outlineLevel="0" collapsed="false">
      <c r="A547" s="14" t="s">
        <v>1143</v>
      </c>
      <c r="B547" s="14" t="s">
        <v>1144</v>
      </c>
      <c r="C547" s="14" t="s">
        <v>24</v>
      </c>
      <c r="D547" s="15" t="n">
        <v>46256</v>
      </c>
      <c r="E547" s="14" t="n">
        <f aca="false">MONTH(D547)</f>
        <v>8</v>
      </c>
      <c r="F547" s="14" t="s">
        <v>79</v>
      </c>
      <c r="G547" s="14" t="s">
        <v>50</v>
      </c>
      <c r="H547" s="14" t="s">
        <v>46</v>
      </c>
      <c r="I547" s="16" t="n">
        <v>632.5</v>
      </c>
      <c r="J547" s="17" t="n">
        <v>0.378</v>
      </c>
      <c r="K547" s="18" t="n">
        <v>75.6</v>
      </c>
      <c r="L547" s="18" t="n">
        <v>211.34</v>
      </c>
      <c r="M547" s="18" t="n">
        <f aca="false">IF(J547="","",ROUND(MAX(I547*J547,K547),2))</f>
        <v>239.09</v>
      </c>
      <c r="N547" s="18" t="n">
        <f aca="false">IF(M547="","",ROUND(L547-M547,2))</f>
        <v>-27.75</v>
      </c>
      <c r="O547" s="19" t="n">
        <f aca="false">IF(M547="","",N547/M547)</f>
        <v>-0.116065080095362</v>
      </c>
      <c r="P547" s="14" t="str">
        <f aca="false">IF(M547="","SEM TARIFA NO CONTRATO",IF(N547&gt;Resumo!$B$4,"ACIMA DA TABELA",IF(N547&lt;-Resumo!$B$4,"ABAIXO DA TABELA","OK")))</f>
        <v>ABAIXO DA TABELA</v>
      </c>
    </row>
    <row r="548" customFormat="false" ht="15" hidden="false" customHeight="false" outlineLevel="0" collapsed="false">
      <c r="A548" s="14" t="s">
        <v>1145</v>
      </c>
      <c r="B548" s="14" t="s">
        <v>1146</v>
      </c>
      <c r="C548" s="14" t="s">
        <v>25</v>
      </c>
      <c r="D548" s="15" t="n">
        <v>46257</v>
      </c>
      <c r="E548" s="14" t="n">
        <f aca="false">MONTH(D548)</f>
        <v>8</v>
      </c>
      <c r="F548" s="14" t="s">
        <v>44</v>
      </c>
      <c r="G548" s="14" t="s">
        <v>45</v>
      </c>
      <c r="H548" s="14" t="s">
        <v>46</v>
      </c>
      <c r="I548" s="16" t="n">
        <v>259.6</v>
      </c>
      <c r="J548" s="17" t="n">
        <v>0.8539</v>
      </c>
      <c r="K548" s="18" t="n">
        <v>108.93</v>
      </c>
      <c r="L548" s="18" t="n">
        <v>221.87</v>
      </c>
      <c r="M548" s="18" t="n">
        <f aca="false">IF(J548="","",ROUND(MAX(I548*J548,K548),2))</f>
        <v>221.67</v>
      </c>
      <c r="N548" s="18" t="n">
        <f aca="false">IF(M548="","",ROUND(L548-M548,2))</f>
        <v>0.2</v>
      </c>
      <c r="O548" s="19" t="n">
        <f aca="false">IF(M548="","",N548/M548)</f>
        <v>0.000902242071547796</v>
      </c>
      <c r="P548" s="14" t="str">
        <f aca="false">IF(M548="","SEM TARIFA NO CONTRATO",IF(N548&gt;Resumo!$B$4,"ACIMA DA TABELA",IF(N548&lt;-Resumo!$B$4,"ABAIXO DA TABELA","OK")))</f>
        <v>OK</v>
      </c>
    </row>
    <row r="549" customFormat="false" ht="15" hidden="false" customHeight="false" outlineLevel="0" collapsed="false">
      <c r="A549" s="14" t="s">
        <v>1147</v>
      </c>
      <c r="B549" s="14" t="s">
        <v>1148</v>
      </c>
      <c r="C549" s="14" t="s">
        <v>21</v>
      </c>
      <c r="D549" s="15" t="n">
        <v>46257</v>
      </c>
      <c r="E549" s="14" t="n">
        <f aca="false">MONTH(D549)</f>
        <v>8</v>
      </c>
      <c r="F549" s="14" t="s">
        <v>67</v>
      </c>
      <c r="G549" s="14" t="s">
        <v>50</v>
      </c>
      <c r="H549" s="14" t="s">
        <v>68</v>
      </c>
      <c r="I549" s="16" t="n">
        <v>619.2</v>
      </c>
      <c r="J549" s="17" t="n">
        <v>2.2638</v>
      </c>
      <c r="K549" s="18" t="n">
        <v>221.76</v>
      </c>
      <c r="L549" s="18" t="n">
        <v>1402.14</v>
      </c>
      <c r="M549" s="18" t="n">
        <f aca="false">IF(J549="","",ROUND(MAX(I549*J549,K549),2))</f>
        <v>1401.74</v>
      </c>
      <c r="N549" s="18" t="n">
        <f aca="false">IF(M549="","",ROUND(L549-M549,2))</f>
        <v>0.4</v>
      </c>
      <c r="O549" s="19" t="n">
        <f aca="false">IF(M549="","",N549/M549)</f>
        <v>0.000285359624466734</v>
      </c>
      <c r="P549" s="14" t="str">
        <f aca="false">IF(M549="","SEM TARIFA NO CONTRATO",IF(N549&gt;Resumo!$B$4,"ACIMA DA TABELA",IF(N549&lt;-Resumo!$B$4,"ABAIXO DA TABELA","OK")))</f>
        <v>OK</v>
      </c>
    </row>
    <row r="550" customFormat="false" ht="15" hidden="false" customHeight="false" outlineLevel="0" collapsed="false">
      <c r="A550" s="14" t="s">
        <v>1149</v>
      </c>
      <c r="B550" s="14" t="s">
        <v>1150</v>
      </c>
      <c r="C550" s="14" t="s">
        <v>21</v>
      </c>
      <c r="D550" s="15" t="n">
        <v>46257</v>
      </c>
      <c r="E550" s="14" t="n">
        <f aca="false">MONTH(D550)</f>
        <v>8</v>
      </c>
      <c r="F550" s="14" t="s">
        <v>49</v>
      </c>
      <c r="G550" s="14" t="s">
        <v>50</v>
      </c>
      <c r="H550" s="14" t="s">
        <v>51</v>
      </c>
      <c r="I550" s="16" t="n">
        <v>492.5</v>
      </c>
      <c r="J550" s="17" t="n">
        <v>5.1282</v>
      </c>
      <c r="K550" s="18" t="n">
        <v>436.59</v>
      </c>
      <c r="L550" s="18" t="n">
        <v>2525.74</v>
      </c>
      <c r="M550" s="18" t="n">
        <f aca="false">IF(J550="","",ROUND(MAX(I550*J550,K550),2))</f>
        <v>2525.64</v>
      </c>
      <c r="N550" s="18" t="n">
        <f aca="false">IF(M550="","",ROUND(L550-M550,2))</f>
        <v>0.1</v>
      </c>
      <c r="O550" s="19" t="n">
        <f aca="false">IF(M550="","",N550/M550)</f>
        <v>3.95939247081928E-005</v>
      </c>
      <c r="P550" s="14" t="str">
        <f aca="false">IF(M550="","SEM TARIFA NO CONTRATO",IF(N550&gt;Resumo!$B$4,"ACIMA DA TABELA",IF(N550&lt;-Resumo!$B$4,"ABAIXO DA TABELA","OK")))</f>
        <v>OK</v>
      </c>
    </row>
    <row r="551" customFormat="false" ht="15" hidden="false" customHeight="false" outlineLevel="0" collapsed="false">
      <c r="A551" s="14" t="s">
        <v>1151</v>
      </c>
      <c r="B551" s="14" t="s">
        <v>1152</v>
      </c>
      <c r="C551" s="14" t="s">
        <v>21</v>
      </c>
      <c r="D551" s="15" t="n">
        <v>46257</v>
      </c>
      <c r="E551" s="14" t="n">
        <f aca="false">MONTH(D551)</f>
        <v>8</v>
      </c>
      <c r="F551" s="14" t="s">
        <v>73</v>
      </c>
      <c r="G551" s="14" t="s">
        <v>50</v>
      </c>
      <c r="H551" s="14" t="s">
        <v>74</v>
      </c>
      <c r="I551" s="16" t="n">
        <v>404.1</v>
      </c>
      <c r="J551" s="17" t="n">
        <v>1.3213</v>
      </c>
      <c r="K551" s="18" t="n">
        <v>151.07</v>
      </c>
      <c r="L551" s="18" t="n">
        <v>604.93</v>
      </c>
      <c r="M551" s="18" t="n">
        <f aca="false">IF(J551="","",ROUND(MAX(I551*J551,K551),2))</f>
        <v>533.94</v>
      </c>
      <c r="N551" s="18" t="n">
        <f aca="false">IF(M551="","",ROUND(L551-M551,2))</f>
        <v>70.99</v>
      </c>
      <c r="O551" s="19" t="n">
        <f aca="false">IF(M551="","",N551/M551)</f>
        <v>0.132955013671948</v>
      </c>
      <c r="P551" s="14" t="str">
        <f aca="false">IF(M551="","SEM TARIFA NO CONTRATO",IF(N551&gt;Resumo!$B$4,"ACIMA DA TABELA",IF(N551&lt;-Resumo!$B$4,"ABAIXO DA TABELA","OK")))</f>
        <v>ACIMA DA TABELA</v>
      </c>
    </row>
    <row r="552" customFormat="false" ht="15" hidden="false" customHeight="false" outlineLevel="0" collapsed="false">
      <c r="A552" s="14" t="s">
        <v>1153</v>
      </c>
      <c r="B552" s="14" t="s">
        <v>1154</v>
      </c>
      <c r="C552" s="14" t="s">
        <v>24</v>
      </c>
      <c r="D552" s="15" t="n">
        <v>46258</v>
      </c>
      <c r="E552" s="14" t="n">
        <f aca="false">MONTH(D552)</f>
        <v>8</v>
      </c>
      <c r="F552" s="14" t="s">
        <v>79</v>
      </c>
      <c r="G552" s="14" t="s">
        <v>50</v>
      </c>
      <c r="H552" s="14" t="s">
        <v>46</v>
      </c>
      <c r="I552" s="16" t="n">
        <v>648.2</v>
      </c>
      <c r="J552" s="17" t="n">
        <v>0.378</v>
      </c>
      <c r="K552" s="18" t="n">
        <v>75.6</v>
      </c>
      <c r="L552" s="18" t="n">
        <v>245.19</v>
      </c>
      <c r="M552" s="18" t="n">
        <f aca="false">IF(J552="","",ROUND(MAX(I552*J552,K552),2))</f>
        <v>245.02</v>
      </c>
      <c r="N552" s="18" t="n">
        <f aca="false">IF(M552="","",ROUND(L552-M552,2))</f>
        <v>0.17</v>
      </c>
      <c r="O552" s="19" t="n">
        <f aca="false">IF(M552="","",N552/M552)</f>
        <v>0.000693820912578565</v>
      </c>
      <c r="P552" s="14" t="str">
        <f aca="false">IF(M552="","SEM TARIFA NO CONTRATO",IF(N552&gt;Resumo!$B$4,"ACIMA DA TABELA",IF(N552&lt;-Resumo!$B$4,"ABAIXO DA TABELA","OK")))</f>
        <v>OK</v>
      </c>
    </row>
    <row r="553" customFormat="false" ht="15" hidden="false" customHeight="false" outlineLevel="0" collapsed="false">
      <c r="A553" s="14" t="s">
        <v>1155</v>
      </c>
      <c r="B553" s="14" t="s">
        <v>1156</v>
      </c>
      <c r="C553" s="14" t="s">
        <v>25</v>
      </c>
      <c r="D553" s="15" t="n">
        <v>46258</v>
      </c>
      <c r="E553" s="14" t="n">
        <f aca="false">MONTH(D553)</f>
        <v>8</v>
      </c>
      <c r="F553" s="14" t="s">
        <v>61</v>
      </c>
      <c r="G553" s="14" t="s">
        <v>50</v>
      </c>
      <c r="H553" s="14" t="s">
        <v>62</v>
      </c>
      <c r="I553" s="16" t="n">
        <v>1296.6</v>
      </c>
      <c r="J553" s="17" t="n">
        <v>0.9975</v>
      </c>
      <c r="K553" s="18" t="n">
        <v>119.7</v>
      </c>
      <c r="L553" s="18" t="n">
        <v>1293.24</v>
      </c>
      <c r="M553" s="18" t="n">
        <f aca="false">IF(J553="","",ROUND(MAX(I553*J553,K553),2))</f>
        <v>1293.36</v>
      </c>
      <c r="N553" s="18" t="n">
        <f aca="false">IF(M553="","",ROUND(L553-M553,2))</f>
        <v>-0.12</v>
      </c>
      <c r="O553" s="19" t="n">
        <f aca="false">IF(M553="","",N553/M553)</f>
        <v>-9.2781592132121E-005</v>
      </c>
      <c r="P553" s="14" t="str">
        <f aca="false">IF(M553="","SEM TARIFA NO CONTRATO",IF(N553&gt;Resumo!$B$4,"ACIMA DA TABELA",IF(N553&lt;-Resumo!$B$4,"ABAIXO DA TABELA","OK")))</f>
        <v>OK</v>
      </c>
    </row>
    <row r="554" customFormat="false" ht="15" hidden="false" customHeight="false" outlineLevel="0" collapsed="false">
      <c r="A554" s="14" t="s">
        <v>1157</v>
      </c>
      <c r="B554" s="14" t="s">
        <v>1158</v>
      </c>
      <c r="C554" s="14" t="s">
        <v>22</v>
      </c>
      <c r="D554" s="15" t="n">
        <v>46259</v>
      </c>
      <c r="E554" s="14" t="n">
        <f aca="false">MONTH(D554)</f>
        <v>8</v>
      </c>
      <c r="F554" s="14" t="s">
        <v>73</v>
      </c>
      <c r="G554" s="14" t="s">
        <v>50</v>
      </c>
      <c r="H554" s="14" t="s">
        <v>74</v>
      </c>
      <c r="I554" s="16" t="n">
        <v>165.5</v>
      </c>
      <c r="J554" s="17" t="n">
        <v>1.2613</v>
      </c>
      <c r="K554" s="18" t="n">
        <v>144.21</v>
      </c>
      <c r="L554" s="18" t="n">
        <v>228.58</v>
      </c>
      <c r="M554" s="18" t="n">
        <f aca="false">IF(J554="","",ROUND(MAX(I554*J554,K554),2))</f>
        <v>208.75</v>
      </c>
      <c r="N554" s="18" t="n">
        <f aca="false">IF(M554="","",ROUND(L554-M554,2))</f>
        <v>19.83</v>
      </c>
      <c r="O554" s="19" t="n">
        <f aca="false">IF(M554="","",N554/M554)</f>
        <v>0.0949940119760479</v>
      </c>
      <c r="P554" s="14" t="str">
        <f aca="false">IF(M554="","SEM TARIFA NO CONTRATO",IF(N554&gt;Resumo!$B$4,"ACIMA DA TABELA",IF(N554&lt;-Resumo!$B$4,"ABAIXO DA TABELA","OK")))</f>
        <v>ACIMA DA TABELA</v>
      </c>
    </row>
    <row r="555" customFormat="false" ht="15" hidden="false" customHeight="false" outlineLevel="0" collapsed="false">
      <c r="A555" s="14" t="s">
        <v>1159</v>
      </c>
      <c r="B555" s="14" t="s">
        <v>1160</v>
      </c>
      <c r="C555" s="14" t="s">
        <v>21</v>
      </c>
      <c r="D555" s="15" t="n">
        <v>46259</v>
      </c>
      <c r="E555" s="14" t="n">
        <f aca="false">MONTH(D555)</f>
        <v>8</v>
      </c>
      <c r="F555" s="14" t="s">
        <v>73</v>
      </c>
      <c r="G555" s="14" t="s">
        <v>50</v>
      </c>
      <c r="H555" s="14" t="s">
        <v>74</v>
      </c>
      <c r="I555" s="16" t="n">
        <v>730.7</v>
      </c>
      <c r="J555" s="17" t="n">
        <v>1.3213</v>
      </c>
      <c r="K555" s="18" t="n">
        <v>151.07</v>
      </c>
      <c r="L555" s="18" t="n">
        <v>965.61</v>
      </c>
      <c r="M555" s="18" t="n">
        <f aca="false">IF(J555="","",ROUND(MAX(I555*J555,K555),2))</f>
        <v>965.47</v>
      </c>
      <c r="N555" s="18" t="n">
        <f aca="false">IF(M555="","",ROUND(L555-M555,2))</f>
        <v>0.14</v>
      </c>
      <c r="O555" s="19" t="n">
        <f aca="false">IF(M555="","",N555/M555)</f>
        <v>0.000145007094990005</v>
      </c>
      <c r="P555" s="14" t="str">
        <f aca="false">IF(M555="","SEM TARIFA NO CONTRATO",IF(N555&gt;Resumo!$B$4,"ACIMA DA TABELA",IF(N555&lt;-Resumo!$B$4,"ABAIXO DA TABELA","OK")))</f>
        <v>OK</v>
      </c>
    </row>
    <row r="556" customFormat="false" ht="15" hidden="false" customHeight="false" outlineLevel="0" collapsed="false">
      <c r="A556" s="14" t="s">
        <v>1161</v>
      </c>
      <c r="B556" s="14" t="s">
        <v>1162</v>
      </c>
      <c r="C556" s="14" t="s">
        <v>21</v>
      </c>
      <c r="D556" s="15" t="n">
        <v>46259</v>
      </c>
      <c r="E556" s="14" t="n">
        <f aca="false">MONTH(D556)</f>
        <v>8</v>
      </c>
      <c r="F556" s="14" t="s">
        <v>61</v>
      </c>
      <c r="G556" s="14" t="s">
        <v>50</v>
      </c>
      <c r="H556" s="14" t="s">
        <v>62</v>
      </c>
      <c r="I556" s="16" t="n">
        <v>627</v>
      </c>
      <c r="J556" s="17" t="n">
        <v>1.155</v>
      </c>
      <c r="K556" s="18" t="n">
        <v>138.6</v>
      </c>
      <c r="L556" s="18" t="n">
        <v>776.03</v>
      </c>
      <c r="M556" s="18" t="n">
        <f aca="false">IF(J556="","",ROUND(MAX(I556*J556,K556),2))</f>
        <v>724.19</v>
      </c>
      <c r="N556" s="18" t="n">
        <f aca="false">IF(M556="","",ROUND(L556-M556,2))</f>
        <v>51.84</v>
      </c>
      <c r="O556" s="19" t="n">
        <f aca="false">IF(M556="","",N556/M556)</f>
        <v>0.0715834242394952</v>
      </c>
      <c r="P556" s="14" t="str">
        <f aca="false">IF(M556="","SEM TARIFA NO CONTRATO",IF(N556&gt;Resumo!$B$4,"ACIMA DA TABELA",IF(N556&lt;-Resumo!$B$4,"ABAIXO DA TABELA","OK")))</f>
        <v>ACIMA DA TABELA</v>
      </c>
    </row>
    <row r="557" customFormat="false" ht="15" hidden="false" customHeight="false" outlineLevel="0" collapsed="false">
      <c r="A557" s="14" t="s">
        <v>1163</v>
      </c>
      <c r="B557" s="14" t="s">
        <v>1164</v>
      </c>
      <c r="C557" s="14" t="s">
        <v>22</v>
      </c>
      <c r="D557" s="15" t="n">
        <v>46259</v>
      </c>
      <c r="E557" s="14" t="n">
        <f aca="false">MONTH(D557)</f>
        <v>8</v>
      </c>
      <c r="F557" s="14" t="s">
        <v>118</v>
      </c>
      <c r="G557" s="14" t="s">
        <v>50</v>
      </c>
      <c r="H557" s="14" t="s">
        <v>119</v>
      </c>
      <c r="I557" s="16" t="n">
        <v>338.8</v>
      </c>
      <c r="J557" s="17" t="n">
        <v>3.6779</v>
      </c>
      <c r="K557" s="18" t="n">
        <v>325.46</v>
      </c>
      <c r="L557" s="18" t="n">
        <v>1364.45</v>
      </c>
      <c r="M557" s="18" t="n">
        <f aca="false">IF(J557="","",ROUND(MAX(I557*J557,K557),2))</f>
        <v>1246.07</v>
      </c>
      <c r="N557" s="18" t="n">
        <f aca="false">IF(M557="","",ROUND(L557-M557,2))</f>
        <v>118.38</v>
      </c>
      <c r="O557" s="19" t="n">
        <f aca="false">IF(M557="","",N557/M557)</f>
        <v>0.0950026884524946</v>
      </c>
      <c r="P557" s="14" t="str">
        <f aca="false">IF(M557="","SEM TARIFA NO CONTRATO",IF(N557&gt;Resumo!$B$4,"ACIMA DA TABELA",IF(N557&lt;-Resumo!$B$4,"ABAIXO DA TABELA","OK")))</f>
        <v>ACIMA DA TABELA</v>
      </c>
    </row>
    <row r="558" customFormat="false" ht="15" hidden="false" customHeight="false" outlineLevel="0" collapsed="false">
      <c r="A558" s="14" t="s">
        <v>1165</v>
      </c>
      <c r="B558" s="14" t="s">
        <v>1166</v>
      </c>
      <c r="C558" s="14" t="s">
        <v>21</v>
      </c>
      <c r="D558" s="15" t="n">
        <v>46261</v>
      </c>
      <c r="E558" s="14" t="n">
        <f aca="false">MONTH(D558)</f>
        <v>8</v>
      </c>
      <c r="F558" s="14" t="s">
        <v>118</v>
      </c>
      <c r="G558" s="14" t="s">
        <v>50</v>
      </c>
      <c r="H558" s="14" t="s">
        <v>119</v>
      </c>
      <c r="I558" s="16" t="n">
        <v>340.4</v>
      </c>
      <c r="J558" s="17" t="n">
        <v>3.8531</v>
      </c>
      <c r="K558" s="18" t="n">
        <v>340.96</v>
      </c>
      <c r="L558" s="18" t="n">
        <v>1311.41</v>
      </c>
      <c r="M558" s="18" t="n">
        <f aca="false">IF(J558="","",ROUND(MAX(I558*J558,K558),2))</f>
        <v>1311.6</v>
      </c>
      <c r="N558" s="18" t="n">
        <f aca="false">IF(M558="","",ROUND(L558-M558,2))</f>
        <v>-0.19</v>
      </c>
      <c r="O558" s="19" t="n">
        <f aca="false">IF(M558="","",N558/M558)</f>
        <v>-0.000144861238182373</v>
      </c>
      <c r="P558" s="14" t="str">
        <f aca="false">IF(M558="","SEM TARIFA NO CONTRATO",IF(N558&gt;Resumo!$B$4,"ACIMA DA TABELA",IF(N558&lt;-Resumo!$B$4,"ABAIXO DA TABELA","OK")))</f>
        <v>OK</v>
      </c>
    </row>
    <row r="559" customFormat="false" ht="15" hidden="false" customHeight="false" outlineLevel="0" collapsed="false">
      <c r="A559" s="14" t="s">
        <v>1167</v>
      </c>
      <c r="B559" s="14" t="s">
        <v>1168</v>
      </c>
      <c r="C559" s="14" t="s">
        <v>25</v>
      </c>
      <c r="D559" s="15" t="n">
        <v>46262</v>
      </c>
      <c r="E559" s="14" t="n">
        <f aca="false">MONTH(D559)</f>
        <v>8</v>
      </c>
      <c r="F559" s="14" t="s">
        <v>56</v>
      </c>
      <c r="G559" s="14" t="s">
        <v>50</v>
      </c>
      <c r="H559" s="14" t="s">
        <v>45</v>
      </c>
      <c r="I559" s="16" t="n">
        <v>962.6</v>
      </c>
      <c r="J559" s="17" t="n">
        <v>0.8539</v>
      </c>
      <c r="K559" s="18" t="n">
        <v>108.93</v>
      </c>
      <c r="L559" s="18" t="n">
        <v>821.61</v>
      </c>
      <c r="M559" s="18" t="n">
        <f aca="false">IF(J559="","",ROUND(MAX(I559*J559,K559),2))</f>
        <v>821.96</v>
      </c>
      <c r="N559" s="18" t="n">
        <f aca="false">IF(M559="","",ROUND(L559-M559,2))</f>
        <v>-0.35</v>
      </c>
      <c r="O559" s="19" t="n">
        <f aca="false">IF(M559="","",N559/M559)</f>
        <v>-0.000425811475010949</v>
      </c>
      <c r="P559" s="14" t="str">
        <f aca="false">IF(M559="","SEM TARIFA NO CONTRATO",IF(N559&gt;Resumo!$B$4,"ACIMA DA TABELA",IF(N559&lt;-Resumo!$B$4,"ABAIXO DA TABELA","OK")))</f>
        <v>OK</v>
      </c>
    </row>
    <row r="560" customFormat="false" ht="15" hidden="false" customHeight="false" outlineLevel="0" collapsed="false">
      <c r="A560" s="14" t="s">
        <v>1169</v>
      </c>
      <c r="B560" s="14" t="s">
        <v>1170</v>
      </c>
      <c r="C560" s="14" t="s">
        <v>24</v>
      </c>
      <c r="D560" s="15" t="n">
        <v>46263</v>
      </c>
      <c r="E560" s="14" t="n">
        <f aca="false">MONTH(D560)</f>
        <v>8</v>
      </c>
      <c r="F560" s="14" t="s">
        <v>44</v>
      </c>
      <c r="G560" s="14" t="s">
        <v>45</v>
      </c>
      <c r="H560" s="14" t="s">
        <v>46</v>
      </c>
      <c r="I560" s="16" t="n">
        <v>455</v>
      </c>
      <c r="J560" s="17" t="n">
        <v>0.8988</v>
      </c>
      <c r="K560" s="18" t="n">
        <v>114.66</v>
      </c>
      <c r="L560" s="18" t="n">
        <v>408.62</v>
      </c>
      <c r="M560" s="18" t="n">
        <f aca="false">IF(J560="","",ROUND(MAX(I560*J560,K560),2))</f>
        <v>408.95</v>
      </c>
      <c r="N560" s="18" t="n">
        <f aca="false">IF(M560="","",ROUND(L560-M560,2))</f>
        <v>-0.33</v>
      </c>
      <c r="O560" s="19" t="n">
        <f aca="false">IF(M560="","",N560/M560)</f>
        <v>-0.000806944614256022</v>
      </c>
      <c r="P560" s="14" t="str">
        <f aca="false">IF(M560="","SEM TARIFA NO CONTRATO",IF(N560&gt;Resumo!$B$4,"ACIMA DA TABELA",IF(N560&lt;-Resumo!$B$4,"ABAIXO DA TABELA","OK")))</f>
        <v>OK</v>
      </c>
    </row>
    <row r="561" customFormat="false" ht="15" hidden="false" customHeight="false" outlineLevel="0" collapsed="false">
      <c r="A561" s="14" t="s">
        <v>1171</v>
      </c>
      <c r="B561" s="14" t="s">
        <v>1172</v>
      </c>
      <c r="C561" s="14" t="s">
        <v>25</v>
      </c>
      <c r="D561" s="15" t="n">
        <v>46263</v>
      </c>
      <c r="E561" s="14" t="n">
        <f aca="false">MONTH(D561)</f>
        <v>8</v>
      </c>
      <c r="F561" s="14" t="s">
        <v>104</v>
      </c>
      <c r="G561" s="14" t="s">
        <v>45</v>
      </c>
      <c r="H561" s="14" t="s">
        <v>68</v>
      </c>
      <c r="I561" s="16" t="n">
        <v>277.7</v>
      </c>
      <c r="J561" s="17" t="n">
        <v>1.3167</v>
      </c>
      <c r="K561" s="18" t="n">
        <v>143.64</v>
      </c>
      <c r="L561" s="18" t="n">
        <v>383.27</v>
      </c>
      <c r="M561" s="18" t="n">
        <f aca="false">IF(J561="","",ROUND(MAX(I561*J561,K561),2))</f>
        <v>365.65</v>
      </c>
      <c r="N561" s="18" t="n">
        <f aca="false">IF(M561="","",ROUND(L561-M561,2))</f>
        <v>17.62</v>
      </c>
      <c r="O561" s="19" t="n">
        <f aca="false">IF(M561="","",N561/M561)</f>
        <v>0.0481881580746616</v>
      </c>
      <c r="P561" s="14" t="str">
        <f aca="false">IF(M561="","SEM TARIFA NO CONTRATO",IF(N561&gt;Resumo!$B$4,"ACIMA DA TABELA",IF(N561&lt;-Resumo!$B$4,"ABAIXO DA TABELA","OK")))</f>
        <v>ACIMA DA TABELA</v>
      </c>
    </row>
    <row r="562" customFormat="false" ht="15" hidden="false" customHeight="false" outlineLevel="0" collapsed="false">
      <c r="A562" s="14" t="s">
        <v>1173</v>
      </c>
      <c r="B562" s="14" t="s">
        <v>1174</v>
      </c>
      <c r="C562" s="14" t="s">
        <v>25</v>
      </c>
      <c r="D562" s="15" t="n">
        <v>46264</v>
      </c>
      <c r="E562" s="14" t="n">
        <f aca="false">MONTH(D562)</f>
        <v>8</v>
      </c>
      <c r="F562" s="14" t="s">
        <v>44</v>
      </c>
      <c r="G562" s="14" t="s">
        <v>45</v>
      </c>
      <c r="H562" s="14" t="s">
        <v>46</v>
      </c>
      <c r="I562" s="16" t="n">
        <v>1505.8</v>
      </c>
      <c r="J562" s="17" t="n">
        <v>0.8539</v>
      </c>
      <c r="K562" s="18" t="n">
        <v>108.93</v>
      </c>
      <c r="L562" s="18" t="n">
        <v>1286.15</v>
      </c>
      <c r="M562" s="18" t="n">
        <f aca="false">IF(J562="","",ROUND(MAX(I562*J562,K562),2))</f>
        <v>1285.8</v>
      </c>
      <c r="N562" s="18" t="n">
        <f aca="false">IF(M562="","",ROUND(L562-M562,2))</f>
        <v>0.35</v>
      </c>
      <c r="O562" s="19" t="n">
        <f aca="false">IF(M562="","",N562/M562)</f>
        <v>0.00027220407528387</v>
      </c>
      <c r="P562" s="14" t="str">
        <f aca="false">IF(M562="","SEM TARIFA NO CONTRATO",IF(N562&gt;Resumo!$B$4,"ACIMA DA TABELA",IF(N562&lt;-Resumo!$B$4,"ABAIXO DA TABELA","OK")))</f>
        <v>OK</v>
      </c>
    </row>
    <row r="563" customFormat="false" ht="15" hidden="false" customHeight="false" outlineLevel="0" collapsed="false">
      <c r="A563" s="14" t="s">
        <v>1175</v>
      </c>
      <c r="B563" s="14" t="s">
        <v>1176</v>
      </c>
      <c r="C563" s="14" t="s">
        <v>21</v>
      </c>
      <c r="D563" s="15" t="n">
        <v>46265</v>
      </c>
      <c r="E563" s="14" t="n">
        <f aca="false">MONTH(D563)</f>
        <v>8</v>
      </c>
      <c r="F563" s="14" t="s">
        <v>88</v>
      </c>
      <c r="G563" s="14" t="s">
        <v>50</v>
      </c>
      <c r="H563" s="14" t="s">
        <v>89</v>
      </c>
      <c r="I563" s="16" t="n">
        <v>232.1</v>
      </c>
      <c r="J563" s="17" t="n">
        <v>1.9496</v>
      </c>
      <c r="K563" s="18" t="n">
        <v>198.2</v>
      </c>
      <c r="L563" s="18" t="n">
        <v>518.31</v>
      </c>
      <c r="M563" s="18" t="n">
        <f aca="false">IF(J563="","",ROUND(MAX(I563*J563,K563),2))</f>
        <v>452.5</v>
      </c>
      <c r="N563" s="18" t="n">
        <f aca="false">IF(M563="","",ROUND(L563-M563,2))</f>
        <v>65.81</v>
      </c>
      <c r="O563" s="19" t="n">
        <f aca="false">IF(M563="","",N563/M563)</f>
        <v>0.145436464088398</v>
      </c>
      <c r="P563" s="14" t="str">
        <f aca="false">IF(M563="","SEM TARIFA NO CONTRATO",IF(N563&gt;Resumo!$B$4,"ACIMA DA TABELA",IF(N563&lt;-Resumo!$B$4,"ABAIXO DA TABELA","OK")))</f>
        <v>ACIMA DA TABELA</v>
      </c>
    </row>
    <row r="564" customFormat="false" ht="15" hidden="false" customHeight="false" outlineLevel="0" collapsed="false">
      <c r="A564" s="14" t="s">
        <v>1177</v>
      </c>
      <c r="B564" s="14" t="s">
        <v>1178</v>
      </c>
      <c r="C564" s="14" t="s">
        <v>21</v>
      </c>
      <c r="D564" s="15" t="n">
        <v>46265</v>
      </c>
      <c r="E564" s="14" t="n">
        <f aca="false">MONTH(D564)</f>
        <v>8</v>
      </c>
      <c r="F564" s="14" t="s">
        <v>61</v>
      </c>
      <c r="G564" s="14" t="s">
        <v>50</v>
      </c>
      <c r="H564" s="14" t="s">
        <v>62</v>
      </c>
      <c r="I564" s="16" t="n">
        <v>1061.5</v>
      </c>
      <c r="J564" s="17" t="n">
        <v>1.155</v>
      </c>
      <c r="K564" s="18" t="n">
        <v>138.6</v>
      </c>
      <c r="L564" s="18" t="n">
        <v>1225.95</v>
      </c>
      <c r="M564" s="18" t="n">
        <f aca="false">IF(J564="","",ROUND(MAX(I564*J564,K564),2))</f>
        <v>1226.03</v>
      </c>
      <c r="N564" s="18" t="n">
        <f aca="false">IF(M564="","",ROUND(L564-M564,2))</f>
        <v>-0.08</v>
      </c>
      <c r="O564" s="19" t="n">
        <f aca="false">IF(M564="","",N564/M564)</f>
        <v>-6.52512581258207E-005</v>
      </c>
      <c r="P564" s="14" t="str">
        <f aca="false">IF(M564="","SEM TARIFA NO CONTRATO",IF(N564&gt;Resumo!$B$4,"ACIMA DA TABELA",IF(N564&lt;-Resumo!$B$4,"ABAIXO DA TABELA","OK")))</f>
        <v>OK</v>
      </c>
    </row>
    <row r="565" customFormat="false" ht="15" hidden="false" customHeight="false" outlineLevel="0" collapsed="false">
      <c r="A565" s="14" t="s">
        <v>1179</v>
      </c>
      <c r="B565" s="14" t="s">
        <v>1180</v>
      </c>
      <c r="C565" s="14" t="s">
        <v>21</v>
      </c>
      <c r="D565" s="15" t="n">
        <v>46265</v>
      </c>
      <c r="E565" s="14" t="n">
        <f aca="false">MONTH(D565)</f>
        <v>8</v>
      </c>
      <c r="F565" s="14" t="s">
        <v>73</v>
      </c>
      <c r="G565" s="14" t="s">
        <v>50</v>
      </c>
      <c r="H565" s="14" t="s">
        <v>74</v>
      </c>
      <c r="I565" s="16" t="n">
        <v>605.6</v>
      </c>
      <c r="J565" s="17" t="n">
        <v>1.3213</v>
      </c>
      <c r="K565" s="18" t="n">
        <v>151.07</v>
      </c>
      <c r="L565" s="18" t="n">
        <v>799.91</v>
      </c>
      <c r="M565" s="18" t="n">
        <f aca="false">IF(J565="","",ROUND(MAX(I565*J565,K565),2))</f>
        <v>800.18</v>
      </c>
      <c r="N565" s="18" t="n">
        <f aca="false">IF(M565="","",ROUND(L565-M565,2))</f>
        <v>-0.27</v>
      </c>
      <c r="O565" s="19" t="n">
        <f aca="false">IF(M565="","",N565/M565)</f>
        <v>-0.000337424079582094</v>
      </c>
      <c r="P565" s="14" t="str">
        <f aca="false">IF(M565="","SEM TARIFA NO CONTRATO",IF(N565&gt;Resumo!$B$4,"ACIMA DA TABELA",IF(N565&lt;-Resumo!$B$4,"ABAIXO DA TABELA","OK")))</f>
        <v>OK</v>
      </c>
    </row>
    <row r="566" customFormat="false" ht="15" hidden="false" customHeight="false" outlineLevel="0" collapsed="false">
      <c r="A566" s="14" t="s">
        <v>1181</v>
      </c>
      <c r="B566" s="14" t="s">
        <v>1182</v>
      </c>
      <c r="C566" s="14" t="s">
        <v>21</v>
      </c>
      <c r="D566" s="15" t="n">
        <v>46266</v>
      </c>
      <c r="E566" s="14" t="n">
        <f aca="false">MONTH(D566)</f>
        <v>9</v>
      </c>
      <c r="F566" s="14" t="s">
        <v>61</v>
      </c>
      <c r="G566" s="14" t="s">
        <v>50</v>
      </c>
      <c r="H566" s="14" t="s">
        <v>62</v>
      </c>
      <c r="I566" s="16" t="n">
        <v>322.9</v>
      </c>
      <c r="J566" s="17" t="n">
        <v>1.155</v>
      </c>
      <c r="K566" s="18" t="n">
        <v>138.6</v>
      </c>
      <c r="L566" s="18" t="n">
        <v>372.94</v>
      </c>
      <c r="M566" s="18" t="n">
        <f aca="false">IF(J566="","",ROUND(MAX(I566*J566,K566),2))</f>
        <v>372.95</v>
      </c>
      <c r="N566" s="18" t="n">
        <f aca="false">IF(M566="","",ROUND(L566-M566,2))</f>
        <v>-0.01</v>
      </c>
      <c r="O566" s="19" t="n">
        <f aca="false">IF(M566="","",N566/M566)</f>
        <v>-2.68132457433972E-005</v>
      </c>
      <c r="P566" s="14" t="str">
        <f aca="false">IF(M566="","SEM TARIFA NO CONTRATO",IF(N566&gt;Resumo!$B$4,"ACIMA DA TABELA",IF(N566&lt;-Resumo!$B$4,"ABAIXO DA TABELA","OK")))</f>
        <v>OK</v>
      </c>
    </row>
    <row r="567" customFormat="false" ht="15" hidden="false" customHeight="false" outlineLevel="0" collapsed="false">
      <c r="A567" s="14" t="s">
        <v>1183</v>
      </c>
      <c r="B567" s="14" t="s">
        <v>1184</v>
      </c>
      <c r="C567" s="14" t="s">
        <v>21</v>
      </c>
      <c r="D567" s="15" t="n">
        <v>46266</v>
      </c>
      <c r="E567" s="14" t="n">
        <f aca="false">MONTH(D567)</f>
        <v>9</v>
      </c>
      <c r="F567" s="14" t="s">
        <v>88</v>
      </c>
      <c r="G567" s="14" t="s">
        <v>50</v>
      </c>
      <c r="H567" s="14" t="s">
        <v>89</v>
      </c>
      <c r="I567" s="16" t="n">
        <v>695.2</v>
      </c>
      <c r="J567" s="17" t="n">
        <v>1.9496</v>
      </c>
      <c r="K567" s="18" t="n">
        <v>198.2</v>
      </c>
      <c r="L567" s="18" t="n">
        <v>1517.99</v>
      </c>
      <c r="M567" s="18" t="n">
        <f aca="false">IF(J567="","",ROUND(MAX(I567*J567,K567),2))</f>
        <v>1355.36</v>
      </c>
      <c r="N567" s="18" t="n">
        <f aca="false">IF(M567="","",ROUND(L567-M567,2))</f>
        <v>162.63</v>
      </c>
      <c r="O567" s="19" t="n">
        <f aca="false">IF(M567="","",N567/M567)</f>
        <v>0.119990260890096</v>
      </c>
      <c r="P567" s="14" t="str">
        <f aca="false">IF(M567="","SEM TARIFA NO CONTRATO",IF(N567&gt;Resumo!$B$4,"ACIMA DA TABELA",IF(N567&lt;-Resumo!$B$4,"ABAIXO DA TABELA","OK")))</f>
        <v>ACIMA DA TABELA</v>
      </c>
    </row>
    <row r="568" customFormat="false" ht="15" hidden="false" customHeight="false" outlineLevel="0" collapsed="false">
      <c r="A568" s="14" t="s">
        <v>1185</v>
      </c>
      <c r="B568" s="14" t="s">
        <v>1186</v>
      </c>
      <c r="C568" s="14" t="s">
        <v>24</v>
      </c>
      <c r="D568" s="15" t="n">
        <v>46267</v>
      </c>
      <c r="E568" s="14" t="n">
        <f aca="false">MONTH(D568)</f>
        <v>9</v>
      </c>
      <c r="F568" s="14" t="s">
        <v>61</v>
      </c>
      <c r="G568" s="14" t="s">
        <v>50</v>
      </c>
      <c r="H568" s="14" t="s">
        <v>62</v>
      </c>
      <c r="I568" s="16" t="n">
        <v>651.6</v>
      </c>
      <c r="J568" s="17" t="n">
        <v>1.05</v>
      </c>
      <c r="K568" s="18" t="n">
        <v>126</v>
      </c>
      <c r="L568" s="18" t="n">
        <v>684.22</v>
      </c>
      <c r="M568" s="18" t="n">
        <f aca="false">IF(J568="","",ROUND(MAX(I568*J568,K568),2))</f>
        <v>684.18</v>
      </c>
      <c r="N568" s="18" t="n">
        <f aca="false">IF(M568="","",ROUND(L568-M568,2))</f>
        <v>0.04</v>
      </c>
      <c r="O568" s="19" t="n">
        <f aca="false">IF(M568="","",N568/M568)</f>
        <v>5.84641468619369E-005</v>
      </c>
      <c r="P568" s="14" t="str">
        <f aca="false">IF(M568="","SEM TARIFA NO CONTRATO",IF(N568&gt;Resumo!$B$4,"ACIMA DA TABELA",IF(N568&lt;-Resumo!$B$4,"ABAIXO DA TABELA","OK")))</f>
        <v>OK</v>
      </c>
    </row>
    <row r="569" customFormat="false" ht="15" hidden="false" customHeight="false" outlineLevel="0" collapsed="false">
      <c r="A569" s="14" t="s">
        <v>1187</v>
      </c>
      <c r="B569" s="14" t="s">
        <v>1188</v>
      </c>
      <c r="C569" s="14" t="s">
        <v>25</v>
      </c>
      <c r="D569" s="15" t="n">
        <v>46267</v>
      </c>
      <c r="E569" s="14" t="n">
        <f aca="false">MONTH(D569)</f>
        <v>9</v>
      </c>
      <c r="F569" s="14" t="s">
        <v>73</v>
      </c>
      <c r="G569" s="14" t="s">
        <v>50</v>
      </c>
      <c r="H569" s="14" t="s">
        <v>74</v>
      </c>
      <c r="I569" s="16" t="n">
        <v>99.5</v>
      </c>
      <c r="J569" s="17" t="n">
        <v>1.1411</v>
      </c>
      <c r="K569" s="18" t="n">
        <v>130.47</v>
      </c>
      <c r="L569" s="18" t="n">
        <v>122.58</v>
      </c>
      <c r="M569" s="18" t="n">
        <f aca="false">IF(J569="","",ROUND(MAX(I569*J569,K569),2))</f>
        <v>130.47</v>
      </c>
      <c r="N569" s="18" t="n">
        <f aca="false">IF(M569="","",ROUND(L569-M569,2))</f>
        <v>-7.89</v>
      </c>
      <c r="O569" s="19" t="n">
        <f aca="false">IF(M569="","",N569/M569)</f>
        <v>-0.0604736721085307</v>
      </c>
      <c r="P569" s="14" t="str">
        <f aca="false">IF(M569="","SEM TARIFA NO CONTRATO",IF(N569&gt;Resumo!$B$4,"ACIMA DA TABELA",IF(N569&lt;-Resumo!$B$4,"ABAIXO DA TABELA","OK")))</f>
        <v>ABAIXO DA TABELA</v>
      </c>
    </row>
    <row r="570" customFormat="false" ht="15" hidden="false" customHeight="false" outlineLevel="0" collapsed="false">
      <c r="A570" s="14" t="s">
        <v>1189</v>
      </c>
      <c r="B570" s="14" t="s">
        <v>1190</v>
      </c>
      <c r="C570" s="14" t="s">
        <v>25</v>
      </c>
      <c r="D570" s="15" t="n">
        <v>46267</v>
      </c>
      <c r="E570" s="14" t="n">
        <f aca="false">MONTH(D570)</f>
        <v>9</v>
      </c>
      <c r="F570" s="14" t="s">
        <v>104</v>
      </c>
      <c r="G570" s="14" t="s">
        <v>45</v>
      </c>
      <c r="H570" s="14" t="s">
        <v>68</v>
      </c>
      <c r="I570" s="16" t="n">
        <v>131.4</v>
      </c>
      <c r="J570" s="17" t="n">
        <v>1.3167</v>
      </c>
      <c r="K570" s="18" t="n">
        <v>143.64</v>
      </c>
      <c r="L570" s="18" t="n">
        <v>173.25</v>
      </c>
      <c r="M570" s="18" t="n">
        <f aca="false">IF(J570="","",ROUND(MAX(I570*J570,K570),2))</f>
        <v>173.01</v>
      </c>
      <c r="N570" s="18" t="n">
        <f aca="false">IF(M570="","",ROUND(L570-M570,2))</f>
        <v>0.24</v>
      </c>
      <c r="O570" s="19" t="n">
        <f aca="false">IF(M570="","",N570/M570)</f>
        <v>0.00138720305184671</v>
      </c>
      <c r="P570" s="14" t="str">
        <f aca="false">IF(M570="","SEM TARIFA NO CONTRATO",IF(N570&gt;Resumo!$B$4,"ACIMA DA TABELA",IF(N570&lt;-Resumo!$B$4,"ABAIXO DA TABELA","OK")))</f>
        <v>OK</v>
      </c>
    </row>
    <row r="571" customFormat="false" ht="15" hidden="false" customHeight="false" outlineLevel="0" collapsed="false">
      <c r="A571" s="14" t="s">
        <v>1191</v>
      </c>
      <c r="B571" s="14" t="s">
        <v>1192</v>
      </c>
      <c r="C571" s="14" t="s">
        <v>21</v>
      </c>
      <c r="D571" s="15" t="n">
        <v>46268</v>
      </c>
      <c r="E571" s="14" t="n">
        <f aca="false">MONTH(D571)</f>
        <v>9</v>
      </c>
      <c r="F571" s="14" t="s">
        <v>118</v>
      </c>
      <c r="G571" s="14" t="s">
        <v>50</v>
      </c>
      <c r="H571" s="14" t="s">
        <v>119</v>
      </c>
      <c r="I571" s="16" t="n">
        <v>440.2</v>
      </c>
      <c r="J571" s="17" t="n">
        <v>3.8531</v>
      </c>
      <c r="K571" s="18" t="n">
        <v>340.96</v>
      </c>
      <c r="L571" s="18" t="n">
        <v>1695.78</v>
      </c>
      <c r="M571" s="18" t="n">
        <f aca="false">IF(J571="","",ROUND(MAX(I571*J571,K571),2))</f>
        <v>1696.13</v>
      </c>
      <c r="N571" s="18" t="n">
        <f aca="false">IF(M571="","",ROUND(L571-M571,2))</f>
        <v>-0.35</v>
      </c>
      <c r="O571" s="19" t="n">
        <f aca="false">IF(M571="","",N571/M571)</f>
        <v>-0.000206352107444594</v>
      </c>
      <c r="P571" s="14" t="str">
        <f aca="false">IF(M571="","SEM TARIFA NO CONTRATO",IF(N571&gt;Resumo!$B$4,"ACIMA DA TABELA",IF(N571&lt;-Resumo!$B$4,"ABAIXO DA TABELA","OK")))</f>
        <v>OK</v>
      </c>
    </row>
    <row r="572" customFormat="false" ht="15" hidden="false" customHeight="false" outlineLevel="0" collapsed="false">
      <c r="A572" s="14" t="s">
        <v>1193</v>
      </c>
      <c r="B572" s="14" t="s">
        <v>1194</v>
      </c>
      <c r="C572" s="14" t="s">
        <v>21</v>
      </c>
      <c r="D572" s="15" t="n">
        <v>46268</v>
      </c>
      <c r="E572" s="14" t="n">
        <f aca="false">MONTH(D572)</f>
        <v>9</v>
      </c>
      <c r="F572" s="14" t="s">
        <v>88</v>
      </c>
      <c r="G572" s="14" t="s">
        <v>50</v>
      </c>
      <c r="H572" s="14" t="s">
        <v>89</v>
      </c>
      <c r="I572" s="16" t="n">
        <v>1449.6</v>
      </c>
      <c r="J572" s="17" t="n">
        <v>1.9496</v>
      </c>
      <c r="K572" s="18" t="n">
        <v>198.2</v>
      </c>
      <c r="L572" s="18" t="n">
        <v>2825.79</v>
      </c>
      <c r="M572" s="18" t="n">
        <f aca="false">IF(J572="","",ROUND(MAX(I572*J572,K572),2))</f>
        <v>2826.14</v>
      </c>
      <c r="N572" s="18" t="n">
        <f aca="false">IF(M572="","",ROUND(L572-M572,2))</f>
        <v>-0.35</v>
      </c>
      <c r="O572" s="19" t="n">
        <f aca="false">IF(M572="","",N572/M572)</f>
        <v>-0.000123843829392741</v>
      </c>
      <c r="P572" s="14" t="str">
        <f aca="false">IF(M572="","SEM TARIFA NO CONTRATO",IF(N572&gt;Resumo!$B$4,"ACIMA DA TABELA",IF(N572&lt;-Resumo!$B$4,"ABAIXO DA TABELA","OK")))</f>
        <v>OK</v>
      </c>
    </row>
    <row r="573" customFormat="false" ht="15" hidden="false" customHeight="false" outlineLevel="0" collapsed="false">
      <c r="A573" s="14" t="s">
        <v>1195</v>
      </c>
      <c r="B573" s="14" t="s">
        <v>1196</v>
      </c>
      <c r="C573" s="14" t="s">
        <v>23</v>
      </c>
      <c r="D573" s="15" t="n">
        <v>46268</v>
      </c>
      <c r="E573" s="14" t="n">
        <f aca="false">MONTH(D573)</f>
        <v>9</v>
      </c>
      <c r="F573" s="14" t="s">
        <v>79</v>
      </c>
      <c r="G573" s="14" t="s">
        <v>50</v>
      </c>
      <c r="H573" s="14" t="s">
        <v>46</v>
      </c>
      <c r="I573" s="16" t="n">
        <v>830</v>
      </c>
      <c r="J573" s="17" t="n">
        <v>0.3478</v>
      </c>
      <c r="K573" s="18" t="n">
        <v>69.55</v>
      </c>
      <c r="L573" s="18" t="n">
        <v>288.47</v>
      </c>
      <c r="M573" s="18" t="n">
        <f aca="false">IF(J573="","",ROUND(MAX(I573*J573,K573),2))</f>
        <v>288.67</v>
      </c>
      <c r="N573" s="18" t="n">
        <f aca="false">IF(M573="","",ROUND(L573-M573,2))</f>
        <v>-0.2</v>
      </c>
      <c r="O573" s="19" t="n">
        <f aca="false">IF(M573="","",N573/M573)</f>
        <v>-0.000692832646274292</v>
      </c>
      <c r="P573" s="14" t="str">
        <f aca="false">IF(M573="","SEM TARIFA NO CONTRATO",IF(N573&gt;Resumo!$B$4,"ACIMA DA TABELA",IF(N573&lt;-Resumo!$B$4,"ABAIXO DA TABELA","OK")))</f>
        <v>OK</v>
      </c>
    </row>
    <row r="574" customFormat="false" ht="15" hidden="false" customHeight="false" outlineLevel="0" collapsed="false">
      <c r="A574" s="14" t="s">
        <v>1197</v>
      </c>
      <c r="B574" s="14" t="s">
        <v>1198</v>
      </c>
      <c r="C574" s="14" t="s">
        <v>24</v>
      </c>
      <c r="D574" s="15" t="n">
        <v>46268</v>
      </c>
      <c r="E574" s="14" t="n">
        <f aca="false">MONTH(D574)</f>
        <v>9</v>
      </c>
      <c r="F574" s="14" t="s">
        <v>44</v>
      </c>
      <c r="G574" s="14" t="s">
        <v>45</v>
      </c>
      <c r="H574" s="14" t="s">
        <v>46</v>
      </c>
      <c r="I574" s="16" t="n">
        <v>455.2</v>
      </c>
      <c r="J574" s="17" t="n">
        <v>0.8988</v>
      </c>
      <c r="K574" s="18" t="n">
        <v>114.66</v>
      </c>
      <c r="L574" s="18" t="n">
        <v>409.25</v>
      </c>
      <c r="M574" s="18" t="n">
        <f aca="false">IF(J574="","",ROUND(MAX(I574*J574,K574),2))</f>
        <v>409.13</v>
      </c>
      <c r="N574" s="18" t="n">
        <f aca="false">IF(M574="","",ROUND(L574-M574,2))</f>
        <v>0.12</v>
      </c>
      <c r="O574" s="19" t="n">
        <f aca="false">IF(M574="","",N574/M574)</f>
        <v>0.000293305306381835</v>
      </c>
      <c r="P574" s="14" t="str">
        <f aca="false">IF(M574="","SEM TARIFA NO CONTRATO",IF(N574&gt;Resumo!$B$4,"ACIMA DA TABELA",IF(N574&lt;-Resumo!$B$4,"ABAIXO DA TABELA","OK")))</f>
        <v>OK</v>
      </c>
    </row>
    <row r="575" customFormat="false" ht="15" hidden="false" customHeight="false" outlineLevel="0" collapsed="false">
      <c r="A575" s="14" t="s">
        <v>1199</v>
      </c>
      <c r="B575" s="14" t="s">
        <v>1200</v>
      </c>
      <c r="C575" s="14" t="s">
        <v>25</v>
      </c>
      <c r="D575" s="15" t="n">
        <v>46268</v>
      </c>
      <c r="E575" s="14" t="n">
        <f aca="false">MONTH(D575)</f>
        <v>9</v>
      </c>
      <c r="F575" s="14" t="s">
        <v>67</v>
      </c>
      <c r="G575" s="14" t="s">
        <v>50</v>
      </c>
      <c r="H575" s="14" t="s">
        <v>68</v>
      </c>
      <c r="I575" s="16" t="n">
        <v>331.9</v>
      </c>
      <c r="J575" s="17"/>
      <c r="K575" s="18"/>
      <c r="L575" s="18" t="n">
        <v>813.15</v>
      </c>
      <c r="M575" s="18" t="str">
        <f aca="false">IF(J575="","",ROUND(MAX(I575*J575,K575),2))</f>
        <v/>
      </c>
      <c r="N575" s="18" t="str">
        <f aca="false">IF(M575="","",ROUND(L575-M575,2))</f>
        <v/>
      </c>
      <c r="O575" s="19" t="str">
        <f aca="false">IF(M575="","",N575/M575)</f>
        <v/>
      </c>
      <c r="P575" s="14" t="str">
        <f aca="false">IF(M575="","SEM TARIFA NO CONTRATO",IF(N575&gt;Resumo!$B$4,"ACIMA DA TABELA",IF(N575&lt;-Resumo!$B$4,"ABAIXO DA TABELA","OK")))</f>
        <v>SEM TARIFA NO CONTRATO</v>
      </c>
    </row>
    <row r="576" customFormat="false" ht="15" hidden="false" customHeight="false" outlineLevel="0" collapsed="false">
      <c r="A576" s="14" t="s">
        <v>1201</v>
      </c>
      <c r="B576" s="14" t="s">
        <v>1202</v>
      </c>
      <c r="C576" s="14" t="s">
        <v>23</v>
      </c>
      <c r="D576" s="15" t="n">
        <v>46269</v>
      </c>
      <c r="E576" s="14" t="n">
        <f aca="false">MONTH(D576)</f>
        <v>9</v>
      </c>
      <c r="F576" s="14" t="s">
        <v>49</v>
      </c>
      <c r="G576" s="14" t="s">
        <v>50</v>
      </c>
      <c r="H576" s="14" t="s">
        <v>51</v>
      </c>
      <c r="I576" s="16" t="n">
        <v>1412.5</v>
      </c>
      <c r="J576" s="17" t="n">
        <v>4.289</v>
      </c>
      <c r="K576" s="18" t="n">
        <v>365.15</v>
      </c>
      <c r="L576" s="18" t="n">
        <v>6058</v>
      </c>
      <c r="M576" s="18" t="n">
        <f aca="false">IF(J576="","",ROUND(MAX(I576*J576,K576),2))</f>
        <v>6058.21</v>
      </c>
      <c r="N576" s="18" t="n">
        <f aca="false">IF(M576="","",ROUND(L576-M576,2))</f>
        <v>-0.21</v>
      </c>
      <c r="O576" s="19" t="n">
        <f aca="false">IF(M576="","",N576/M576)</f>
        <v>-3.46637042954932E-005</v>
      </c>
      <c r="P576" s="14" t="str">
        <f aca="false">IF(M576="","SEM TARIFA NO CONTRATO",IF(N576&gt;Resumo!$B$4,"ACIMA DA TABELA",IF(N576&lt;-Resumo!$B$4,"ABAIXO DA TABELA","OK")))</f>
        <v>OK</v>
      </c>
    </row>
    <row r="577" customFormat="false" ht="15" hidden="false" customHeight="false" outlineLevel="0" collapsed="false">
      <c r="A577" s="14" t="s">
        <v>1203</v>
      </c>
      <c r="B577" s="14" t="s">
        <v>1204</v>
      </c>
      <c r="C577" s="14" t="s">
        <v>24</v>
      </c>
      <c r="D577" s="15" t="n">
        <v>46270</v>
      </c>
      <c r="E577" s="14" t="n">
        <f aca="false">MONTH(D577)</f>
        <v>9</v>
      </c>
      <c r="F577" s="14" t="s">
        <v>44</v>
      </c>
      <c r="G577" s="14" t="s">
        <v>45</v>
      </c>
      <c r="H577" s="14" t="s">
        <v>46</v>
      </c>
      <c r="I577" s="16" t="n">
        <v>536.2</v>
      </c>
      <c r="J577" s="17" t="n">
        <v>0.8988</v>
      </c>
      <c r="K577" s="18" t="n">
        <v>114.66</v>
      </c>
      <c r="L577" s="18" t="n">
        <v>481.55</v>
      </c>
      <c r="M577" s="18" t="n">
        <f aca="false">IF(J577="","",ROUND(MAX(I577*J577,K577),2))</f>
        <v>481.94</v>
      </c>
      <c r="N577" s="18" t="n">
        <f aca="false">IF(M577="","",ROUND(L577-M577,2))</f>
        <v>-0.39</v>
      </c>
      <c r="O577" s="19" t="n">
        <f aca="false">IF(M577="","",N577/M577)</f>
        <v>-0.000809229364651201</v>
      </c>
      <c r="P577" s="14" t="str">
        <f aca="false">IF(M577="","SEM TARIFA NO CONTRATO",IF(N577&gt;Resumo!$B$4,"ACIMA DA TABELA",IF(N577&lt;-Resumo!$B$4,"ABAIXO DA TABELA","OK")))</f>
        <v>OK</v>
      </c>
    </row>
    <row r="578" customFormat="false" ht="15" hidden="false" customHeight="false" outlineLevel="0" collapsed="false">
      <c r="A578" s="14" t="s">
        <v>1205</v>
      </c>
      <c r="B578" s="14" t="s">
        <v>1206</v>
      </c>
      <c r="C578" s="14" t="s">
        <v>21</v>
      </c>
      <c r="D578" s="15" t="n">
        <v>46270</v>
      </c>
      <c r="E578" s="14" t="n">
        <f aca="false">MONTH(D578)</f>
        <v>9</v>
      </c>
      <c r="F578" s="14" t="s">
        <v>118</v>
      </c>
      <c r="G578" s="14" t="s">
        <v>50</v>
      </c>
      <c r="H578" s="14" t="s">
        <v>119</v>
      </c>
      <c r="I578" s="16" t="n">
        <v>82.5</v>
      </c>
      <c r="J578" s="17" t="n">
        <v>3.8531</v>
      </c>
      <c r="K578" s="18" t="n">
        <v>340.96</v>
      </c>
      <c r="L578" s="18" t="n">
        <v>341.04</v>
      </c>
      <c r="M578" s="18" t="n">
        <f aca="false">IF(J578="","",ROUND(MAX(I578*J578,K578),2))</f>
        <v>340.96</v>
      </c>
      <c r="N578" s="18" t="n">
        <f aca="false">IF(M578="","",ROUND(L578-M578,2))</f>
        <v>0.08</v>
      </c>
      <c r="O578" s="19" t="n">
        <f aca="false">IF(M578="","",N578/M578)</f>
        <v>0.000234631628343501</v>
      </c>
      <c r="P578" s="14" t="str">
        <f aca="false">IF(M578="","SEM TARIFA NO CONTRATO",IF(N578&gt;Resumo!$B$4,"ACIMA DA TABELA",IF(N578&lt;-Resumo!$B$4,"ABAIXO DA TABELA","OK")))</f>
        <v>OK</v>
      </c>
    </row>
    <row r="579" customFormat="false" ht="15" hidden="false" customHeight="false" outlineLevel="0" collapsed="false">
      <c r="A579" s="14" t="s">
        <v>1207</v>
      </c>
      <c r="B579" s="14" t="s">
        <v>1208</v>
      </c>
      <c r="C579" s="14" t="s">
        <v>23</v>
      </c>
      <c r="D579" s="15" t="n">
        <v>46270</v>
      </c>
      <c r="E579" s="14" t="n">
        <f aca="false">MONTH(D579)</f>
        <v>9</v>
      </c>
      <c r="F579" s="14" t="s">
        <v>56</v>
      </c>
      <c r="G579" s="14" t="s">
        <v>50</v>
      </c>
      <c r="H579" s="14" t="s">
        <v>45</v>
      </c>
      <c r="I579" s="16" t="n">
        <v>833.4</v>
      </c>
      <c r="J579" s="17" t="n">
        <v>0.8269</v>
      </c>
      <c r="K579" s="18" t="n">
        <v>105.48</v>
      </c>
      <c r="L579" s="18" t="n">
        <v>688.95</v>
      </c>
      <c r="M579" s="18" t="n">
        <f aca="false">IF(J579="","",ROUND(MAX(I579*J579,K579),2))</f>
        <v>689.14</v>
      </c>
      <c r="N579" s="18" t="n">
        <f aca="false">IF(M579="","",ROUND(L579-M579,2))</f>
        <v>-0.19</v>
      </c>
      <c r="O579" s="19" t="n">
        <f aca="false">IF(M579="","",N579/M579)</f>
        <v>-0.000275705952346403</v>
      </c>
      <c r="P579" s="14" t="str">
        <f aca="false">IF(M579="","SEM TARIFA NO CONTRATO",IF(N579&gt;Resumo!$B$4,"ACIMA DA TABELA",IF(N579&lt;-Resumo!$B$4,"ABAIXO DA TABELA","OK")))</f>
        <v>OK</v>
      </c>
    </row>
    <row r="580" customFormat="false" ht="15" hidden="false" customHeight="false" outlineLevel="0" collapsed="false">
      <c r="A580" s="14" t="s">
        <v>1209</v>
      </c>
      <c r="B580" s="14" t="s">
        <v>1210</v>
      </c>
      <c r="C580" s="14" t="s">
        <v>21</v>
      </c>
      <c r="D580" s="15" t="n">
        <v>46270</v>
      </c>
      <c r="E580" s="14" t="n">
        <f aca="false">MONTH(D580)</f>
        <v>9</v>
      </c>
      <c r="F580" s="14" t="s">
        <v>67</v>
      </c>
      <c r="G580" s="14" t="s">
        <v>50</v>
      </c>
      <c r="H580" s="14" t="s">
        <v>68</v>
      </c>
      <c r="I580" s="16" t="n">
        <v>1221.6</v>
      </c>
      <c r="J580" s="17" t="n">
        <v>2.2638</v>
      </c>
      <c r="K580" s="18" t="n">
        <v>221.76</v>
      </c>
      <c r="L580" s="18" t="n">
        <v>2765.36</v>
      </c>
      <c r="M580" s="18" t="n">
        <f aca="false">IF(J580="","",ROUND(MAX(I580*J580,K580),2))</f>
        <v>2765.46</v>
      </c>
      <c r="N580" s="18" t="n">
        <f aca="false">IF(M580="","",ROUND(L580-M580,2))</f>
        <v>-0.1</v>
      </c>
      <c r="O580" s="19" t="n">
        <f aca="false">IF(M580="","",N580/M580)</f>
        <v>-3.61603494536171E-005</v>
      </c>
      <c r="P580" s="14" t="str">
        <f aca="false">IF(M580="","SEM TARIFA NO CONTRATO",IF(N580&gt;Resumo!$B$4,"ACIMA DA TABELA",IF(N580&lt;-Resumo!$B$4,"ABAIXO DA TABELA","OK")))</f>
        <v>OK</v>
      </c>
    </row>
    <row r="581" customFormat="false" ht="15" hidden="false" customHeight="false" outlineLevel="0" collapsed="false">
      <c r="A581" s="14" t="s">
        <v>1211</v>
      </c>
      <c r="B581" s="14" t="s">
        <v>1212</v>
      </c>
      <c r="C581" s="14" t="s">
        <v>25</v>
      </c>
      <c r="D581" s="15" t="n">
        <v>46271</v>
      </c>
      <c r="E581" s="14" t="n">
        <f aca="false">MONTH(D581)</f>
        <v>9</v>
      </c>
      <c r="F581" s="14" t="s">
        <v>56</v>
      </c>
      <c r="G581" s="14" t="s">
        <v>50</v>
      </c>
      <c r="H581" s="14" t="s">
        <v>45</v>
      </c>
      <c r="I581" s="16" t="n">
        <v>653.4</v>
      </c>
      <c r="J581" s="17" t="n">
        <v>0.8539</v>
      </c>
      <c r="K581" s="18" t="n">
        <v>108.93</v>
      </c>
      <c r="L581" s="18" t="n">
        <v>557.71</v>
      </c>
      <c r="M581" s="18" t="n">
        <f aca="false">IF(J581="","",ROUND(MAX(I581*J581,K581),2))</f>
        <v>557.94</v>
      </c>
      <c r="N581" s="18" t="n">
        <f aca="false">IF(M581="","",ROUND(L581-M581,2))</f>
        <v>-0.23</v>
      </c>
      <c r="O581" s="19" t="n">
        <f aca="false">IF(M581="","",N581/M581)</f>
        <v>-0.000412230705810661</v>
      </c>
      <c r="P581" s="14" t="str">
        <f aca="false">IF(M581="","SEM TARIFA NO CONTRATO",IF(N581&gt;Resumo!$B$4,"ACIMA DA TABELA",IF(N581&lt;-Resumo!$B$4,"ABAIXO DA TABELA","OK")))</f>
        <v>OK</v>
      </c>
    </row>
    <row r="582" customFormat="false" ht="15" hidden="false" customHeight="false" outlineLevel="0" collapsed="false">
      <c r="A582" s="14" t="s">
        <v>1213</v>
      </c>
      <c r="B582" s="14" t="s">
        <v>1214</v>
      </c>
      <c r="C582" s="14" t="s">
        <v>25</v>
      </c>
      <c r="D582" s="15" t="n">
        <v>46271</v>
      </c>
      <c r="E582" s="14" t="n">
        <f aca="false">MONTH(D582)</f>
        <v>9</v>
      </c>
      <c r="F582" s="14" t="s">
        <v>79</v>
      </c>
      <c r="G582" s="14" t="s">
        <v>50</v>
      </c>
      <c r="H582" s="14" t="s">
        <v>46</v>
      </c>
      <c r="I582" s="16" t="n">
        <v>2096.5</v>
      </c>
      <c r="J582" s="17" t="n">
        <v>0.3591</v>
      </c>
      <c r="K582" s="18" t="n">
        <v>71.82</v>
      </c>
      <c r="L582" s="18" t="n">
        <v>752.85</v>
      </c>
      <c r="M582" s="18" t="n">
        <f aca="false">IF(J582="","",ROUND(MAX(I582*J582,K582),2))</f>
        <v>752.85</v>
      </c>
      <c r="N582" s="18" t="n">
        <f aca="false">IF(M582="","",ROUND(L582-M582,2))</f>
        <v>0</v>
      </c>
      <c r="O582" s="19" t="n">
        <f aca="false">IF(M582="","",N582/M582)</f>
        <v>0</v>
      </c>
      <c r="P582" s="14" t="str">
        <f aca="false">IF(M582="","SEM TARIFA NO CONTRATO",IF(N582&gt;Resumo!$B$4,"ACIMA DA TABELA",IF(N582&lt;-Resumo!$B$4,"ABAIXO DA TABELA","OK")))</f>
        <v>OK</v>
      </c>
    </row>
    <row r="583" customFormat="false" ht="15" hidden="false" customHeight="false" outlineLevel="0" collapsed="false">
      <c r="A583" s="14" t="s">
        <v>1215</v>
      </c>
      <c r="B583" s="14" t="s">
        <v>1216</v>
      </c>
      <c r="C583" s="14" t="s">
        <v>25</v>
      </c>
      <c r="D583" s="15" t="n">
        <v>46271</v>
      </c>
      <c r="E583" s="14" t="n">
        <f aca="false">MONTH(D583)</f>
        <v>9</v>
      </c>
      <c r="F583" s="14" t="s">
        <v>88</v>
      </c>
      <c r="G583" s="14" t="s">
        <v>50</v>
      </c>
      <c r="H583" s="14" t="s">
        <v>89</v>
      </c>
      <c r="I583" s="16" t="n">
        <v>283</v>
      </c>
      <c r="J583" s="17" t="n">
        <v>1.6838</v>
      </c>
      <c r="K583" s="18" t="n">
        <v>171.17</v>
      </c>
      <c r="L583" s="18" t="n">
        <v>442.1</v>
      </c>
      <c r="M583" s="18" t="n">
        <f aca="false">IF(J583="","",ROUND(MAX(I583*J583,K583),2))</f>
        <v>476.52</v>
      </c>
      <c r="N583" s="18" t="n">
        <f aca="false">IF(M583="","",ROUND(L583-M583,2))</f>
        <v>-34.42</v>
      </c>
      <c r="O583" s="19" t="n">
        <f aca="false">IF(M583="","",N583/M583)</f>
        <v>-0.0722320154453119</v>
      </c>
      <c r="P583" s="14" t="str">
        <f aca="false">IF(M583="","SEM TARIFA NO CONTRATO",IF(N583&gt;Resumo!$B$4,"ACIMA DA TABELA",IF(N583&lt;-Resumo!$B$4,"ABAIXO DA TABELA","OK")))</f>
        <v>ABAIXO DA TABELA</v>
      </c>
    </row>
    <row r="584" customFormat="false" ht="15" hidden="false" customHeight="false" outlineLevel="0" collapsed="false">
      <c r="A584" s="14" t="s">
        <v>1217</v>
      </c>
      <c r="B584" s="14" t="s">
        <v>1218</v>
      </c>
      <c r="C584" s="14" t="s">
        <v>24</v>
      </c>
      <c r="D584" s="15" t="n">
        <v>46272</v>
      </c>
      <c r="E584" s="14" t="n">
        <f aca="false">MONTH(D584)</f>
        <v>9</v>
      </c>
      <c r="F584" s="14" t="s">
        <v>44</v>
      </c>
      <c r="G584" s="14" t="s">
        <v>45</v>
      </c>
      <c r="H584" s="14" t="s">
        <v>46</v>
      </c>
      <c r="I584" s="16" t="n">
        <v>523.3</v>
      </c>
      <c r="J584" s="17" t="n">
        <v>0.8988</v>
      </c>
      <c r="K584" s="18" t="n">
        <v>114.66</v>
      </c>
      <c r="L584" s="18" t="n">
        <v>470.12</v>
      </c>
      <c r="M584" s="18" t="n">
        <f aca="false">IF(J584="","",ROUND(MAX(I584*J584,K584),2))</f>
        <v>470.34</v>
      </c>
      <c r="N584" s="18" t="n">
        <f aca="false">IF(M584="","",ROUND(L584-M584,2))</f>
        <v>-0.22</v>
      </c>
      <c r="O584" s="19" t="n">
        <f aca="false">IF(M584="","",N584/M584)</f>
        <v>-0.000467746736403453</v>
      </c>
      <c r="P584" s="14" t="str">
        <f aca="false">IF(M584="","SEM TARIFA NO CONTRATO",IF(N584&gt;Resumo!$B$4,"ACIMA DA TABELA",IF(N584&lt;-Resumo!$B$4,"ABAIXO DA TABELA","OK")))</f>
        <v>OK</v>
      </c>
    </row>
    <row r="585" customFormat="false" ht="15" hidden="false" customHeight="false" outlineLevel="0" collapsed="false">
      <c r="A585" s="14" t="s">
        <v>1219</v>
      </c>
      <c r="B585" s="14" t="s">
        <v>1220</v>
      </c>
      <c r="C585" s="14" t="s">
        <v>21</v>
      </c>
      <c r="D585" s="15" t="n">
        <v>46273</v>
      </c>
      <c r="E585" s="14" t="n">
        <f aca="false">MONTH(D585)</f>
        <v>9</v>
      </c>
      <c r="F585" s="14" t="s">
        <v>88</v>
      </c>
      <c r="G585" s="14" t="s">
        <v>50</v>
      </c>
      <c r="H585" s="14" t="s">
        <v>89</v>
      </c>
      <c r="I585" s="16" t="n">
        <v>1365.1</v>
      </c>
      <c r="J585" s="17" t="n">
        <v>1.9496</v>
      </c>
      <c r="K585" s="18" t="n">
        <v>198.2</v>
      </c>
      <c r="L585" s="18" t="n">
        <v>2661.39</v>
      </c>
      <c r="M585" s="18" t="n">
        <f aca="false">IF(J585="","",ROUND(MAX(I585*J585,K585),2))</f>
        <v>2661.4</v>
      </c>
      <c r="N585" s="18" t="n">
        <f aca="false">IF(M585="","",ROUND(L585-M585,2))</f>
        <v>-0.01</v>
      </c>
      <c r="O585" s="19" t="n">
        <f aca="false">IF(M585="","",N585/M585)</f>
        <v>-3.75742090628992E-006</v>
      </c>
      <c r="P585" s="14" t="str">
        <f aca="false">IF(M585="","SEM TARIFA NO CONTRATO",IF(N585&gt;Resumo!$B$4,"ACIMA DA TABELA",IF(N585&lt;-Resumo!$B$4,"ABAIXO DA TABELA","OK")))</f>
        <v>OK</v>
      </c>
    </row>
    <row r="586" customFormat="false" ht="15" hidden="false" customHeight="false" outlineLevel="0" collapsed="false">
      <c r="A586" s="14" t="s">
        <v>1221</v>
      </c>
      <c r="B586" s="14" t="s">
        <v>1222</v>
      </c>
      <c r="C586" s="14" t="s">
        <v>24</v>
      </c>
      <c r="D586" s="15" t="n">
        <v>46273</v>
      </c>
      <c r="E586" s="14" t="n">
        <f aca="false">MONTH(D586)</f>
        <v>9</v>
      </c>
      <c r="F586" s="14" t="s">
        <v>56</v>
      </c>
      <c r="G586" s="14" t="s">
        <v>50</v>
      </c>
      <c r="H586" s="14" t="s">
        <v>45</v>
      </c>
      <c r="I586" s="16" t="n">
        <v>4346.7</v>
      </c>
      <c r="J586" s="17" t="n">
        <v>0.8988</v>
      </c>
      <c r="K586" s="18" t="n">
        <v>114.66</v>
      </c>
      <c r="L586" s="18" t="n">
        <v>3907.12</v>
      </c>
      <c r="M586" s="18" t="n">
        <f aca="false">IF(J586="","",ROUND(MAX(I586*J586,K586),2))</f>
        <v>3906.81</v>
      </c>
      <c r="N586" s="18" t="n">
        <f aca="false">IF(M586="","",ROUND(L586-M586,2))</f>
        <v>0.31</v>
      </c>
      <c r="O586" s="19" t="n">
        <f aca="false">IF(M586="","",N586/M586)</f>
        <v>7.934862458118E-005</v>
      </c>
      <c r="P586" s="14" t="str">
        <f aca="false">IF(M586="","SEM TARIFA NO CONTRATO",IF(N586&gt;Resumo!$B$4,"ACIMA DA TABELA",IF(N586&lt;-Resumo!$B$4,"ABAIXO DA TABELA","OK")))</f>
        <v>OK</v>
      </c>
    </row>
    <row r="587" customFormat="false" ht="15" hidden="false" customHeight="false" outlineLevel="0" collapsed="false">
      <c r="A587" s="14" t="s">
        <v>1223</v>
      </c>
      <c r="B587" s="14" t="s">
        <v>1224</v>
      </c>
      <c r="C587" s="14" t="s">
        <v>22</v>
      </c>
      <c r="D587" s="15" t="n">
        <v>46274</v>
      </c>
      <c r="E587" s="14" t="n">
        <f aca="false">MONTH(D587)</f>
        <v>9</v>
      </c>
      <c r="F587" s="14" t="s">
        <v>118</v>
      </c>
      <c r="G587" s="14" t="s">
        <v>50</v>
      </c>
      <c r="H587" s="14" t="s">
        <v>119</v>
      </c>
      <c r="I587" s="16" t="n">
        <v>83.5</v>
      </c>
      <c r="J587" s="17" t="n">
        <v>3.6779</v>
      </c>
      <c r="K587" s="18" t="n">
        <v>325.46</v>
      </c>
      <c r="L587" s="18" t="n">
        <v>356.38</v>
      </c>
      <c r="M587" s="18" t="n">
        <f aca="false">IF(J587="","",ROUND(MAX(I587*J587,K587),2))</f>
        <v>325.46</v>
      </c>
      <c r="N587" s="18" t="n">
        <f aca="false">IF(M587="","",ROUND(L587-M587,2))</f>
        <v>30.92</v>
      </c>
      <c r="O587" s="19" t="n">
        <f aca="false">IF(M587="","",N587/M587)</f>
        <v>0.0950039943464635</v>
      </c>
      <c r="P587" s="14" t="str">
        <f aca="false">IF(M587="","SEM TARIFA NO CONTRATO",IF(N587&gt;Resumo!$B$4,"ACIMA DA TABELA",IF(N587&lt;-Resumo!$B$4,"ABAIXO DA TABELA","OK")))</f>
        <v>ACIMA DA TABELA</v>
      </c>
    </row>
    <row r="588" customFormat="false" ht="15" hidden="false" customHeight="false" outlineLevel="0" collapsed="false">
      <c r="A588" s="14" t="s">
        <v>1225</v>
      </c>
      <c r="B588" s="14" t="s">
        <v>1226</v>
      </c>
      <c r="C588" s="14" t="s">
        <v>21</v>
      </c>
      <c r="D588" s="15" t="n">
        <v>46275</v>
      </c>
      <c r="E588" s="14" t="n">
        <f aca="false">MONTH(D588)</f>
        <v>9</v>
      </c>
      <c r="F588" s="14" t="s">
        <v>73</v>
      </c>
      <c r="G588" s="14" t="s">
        <v>50</v>
      </c>
      <c r="H588" s="14" t="s">
        <v>74</v>
      </c>
      <c r="I588" s="16" t="n">
        <v>433.7</v>
      </c>
      <c r="J588" s="17" t="n">
        <v>1.3213</v>
      </c>
      <c r="K588" s="18" t="n">
        <v>151.07</v>
      </c>
      <c r="L588" s="18" t="n">
        <v>573.11</v>
      </c>
      <c r="M588" s="18" t="n">
        <f aca="false">IF(J588="","",ROUND(MAX(I588*J588,K588),2))</f>
        <v>573.05</v>
      </c>
      <c r="N588" s="18" t="n">
        <f aca="false">IF(M588="","",ROUND(L588-M588,2))</f>
        <v>0.06</v>
      </c>
      <c r="O588" s="19" t="n">
        <f aca="false">IF(M588="","",N588/M588)</f>
        <v>0.000104702905505628</v>
      </c>
      <c r="P588" s="14" t="str">
        <f aca="false">IF(M588="","SEM TARIFA NO CONTRATO",IF(N588&gt;Resumo!$B$4,"ACIMA DA TABELA",IF(N588&lt;-Resumo!$B$4,"ABAIXO DA TABELA","OK")))</f>
        <v>OK</v>
      </c>
    </row>
    <row r="589" customFormat="false" ht="15" hidden="false" customHeight="false" outlineLevel="0" collapsed="false">
      <c r="A589" s="14" t="s">
        <v>1227</v>
      </c>
      <c r="B589" s="14" t="s">
        <v>1228</v>
      </c>
      <c r="C589" s="14" t="s">
        <v>24</v>
      </c>
      <c r="D589" s="15" t="n">
        <v>46275</v>
      </c>
      <c r="E589" s="14" t="n">
        <f aca="false">MONTH(D589)</f>
        <v>9</v>
      </c>
      <c r="F589" s="14" t="s">
        <v>79</v>
      </c>
      <c r="G589" s="14" t="s">
        <v>50</v>
      </c>
      <c r="H589" s="14" t="s">
        <v>46</v>
      </c>
      <c r="I589" s="16" t="n">
        <v>1038.4</v>
      </c>
      <c r="J589" s="17" t="n">
        <v>0.378</v>
      </c>
      <c r="K589" s="18" t="n">
        <v>75.6</v>
      </c>
      <c r="L589" s="18" t="n">
        <v>438.5</v>
      </c>
      <c r="M589" s="18" t="n">
        <f aca="false">IF(J589="","",ROUND(MAX(I589*J589,K589),2))</f>
        <v>392.52</v>
      </c>
      <c r="N589" s="18" t="n">
        <f aca="false">IF(M589="","",ROUND(L589-M589,2))</f>
        <v>45.98</v>
      </c>
      <c r="O589" s="19" t="n">
        <f aca="false">IF(M589="","",N589/M589)</f>
        <v>0.117140527871191</v>
      </c>
      <c r="P589" s="14" t="str">
        <f aca="false">IF(M589="","SEM TARIFA NO CONTRATO",IF(N589&gt;Resumo!$B$4,"ACIMA DA TABELA",IF(N589&lt;-Resumo!$B$4,"ABAIXO DA TABELA","OK")))</f>
        <v>ACIMA DA TABELA</v>
      </c>
    </row>
    <row r="590" customFormat="false" ht="15" hidden="false" customHeight="false" outlineLevel="0" collapsed="false">
      <c r="A590" s="14" t="s">
        <v>1229</v>
      </c>
      <c r="B590" s="14" t="s">
        <v>1230</v>
      </c>
      <c r="C590" s="14" t="s">
        <v>21</v>
      </c>
      <c r="D590" s="15" t="n">
        <v>46275</v>
      </c>
      <c r="E590" s="14" t="n">
        <f aca="false">MONTH(D590)</f>
        <v>9</v>
      </c>
      <c r="F590" s="14" t="s">
        <v>61</v>
      </c>
      <c r="G590" s="14" t="s">
        <v>50</v>
      </c>
      <c r="H590" s="14" t="s">
        <v>62</v>
      </c>
      <c r="I590" s="16" t="n">
        <v>184.1</v>
      </c>
      <c r="J590" s="17" t="n">
        <v>1.155</v>
      </c>
      <c r="K590" s="18" t="n">
        <v>138.6</v>
      </c>
      <c r="L590" s="18" t="n">
        <v>212.62</v>
      </c>
      <c r="M590" s="18" t="n">
        <f aca="false">IF(J590="","",ROUND(MAX(I590*J590,K590),2))</f>
        <v>212.64</v>
      </c>
      <c r="N590" s="18" t="n">
        <f aca="false">IF(M590="","",ROUND(L590-M590,2))</f>
        <v>-0.02</v>
      </c>
      <c r="O590" s="19" t="n">
        <f aca="false">IF(M590="","",N590/M590)</f>
        <v>-9.40556809631302E-005</v>
      </c>
      <c r="P590" s="14" t="str">
        <f aca="false">IF(M590="","SEM TARIFA NO CONTRATO",IF(N590&gt;Resumo!$B$4,"ACIMA DA TABELA",IF(N590&lt;-Resumo!$B$4,"ABAIXO DA TABELA","OK")))</f>
        <v>OK</v>
      </c>
    </row>
    <row r="591" customFormat="false" ht="15" hidden="false" customHeight="false" outlineLevel="0" collapsed="false">
      <c r="A591" s="14" t="s">
        <v>1231</v>
      </c>
      <c r="B591" s="14" t="s">
        <v>1232</v>
      </c>
      <c r="C591" s="14" t="s">
        <v>25</v>
      </c>
      <c r="D591" s="15" t="n">
        <v>46276</v>
      </c>
      <c r="E591" s="14" t="n">
        <f aca="false">MONTH(D591)</f>
        <v>9</v>
      </c>
      <c r="F591" s="14" t="s">
        <v>44</v>
      </c>
      <c r="G591" s="14" t="s">
        <v>45</v>
      </c>
      <c r="H591" s="14" t="s">
        <v>46</v>
      </c>
      <c r="I591" s="16" t="n">
        <v>537.3</v>
      </c>
      <c r="J591" s="17" t="n">
        <v>0.8539</v>
      </c>
      <c r="K591" s="18" t="n">
        <v>108.93</v>
      </c>
      <c r="L591" s="18" t="n">
        <v>458.49</v>
      </c>
      <c r="M591" s="18" t="n">
        <f aca="false">IF(J591="","",ROUND(MAX(I591*J591,K591),2))</f>
        <v>458.8</v>
      </c>
      <c r="N591" s="18" t="n">
        <f aca="false">IF(M591="","",ROUND(L591-M591,2))</f>
        <v>-0.31</v>
      </c>
      <c r="O591" s="19" t="n">
        <f aca="false">IF(M591="","",N591/M591)</f>
        <v>-0.000675675675675676</v>
      </c>
      <c r="P591" s="14" t="str">
        <f aca="false">IF(M591="","SEM TARIFA NO CONTRATO",IF(N591&gt;Resumo!$B$4,"ACIMA DA TABELA",IF(N591&lt;-Resumo!$B$4,"ABAIXO DA TABELA","OK")))</f>
        <v>OK</v>
      </c>
    </row>
    <row r="592" customFormat="false" ht="15" hidden="false" customHeight="false" outlineLevel="0" collapsed="false">
      <c r="A592" s="14" t="s">
        <v>1233</v>
      </c>
      <c r="B592" s="14" t="s">
        <v>1234</v>
      </c>
      <c r="C592" s="14" t="s">
        <v>22</v>
      </c>
      <c r="D592" s="15" t="n">
        <v>46276</v>
      </c>
      <c r="E592" s="14" t="n">
        <f aca="false">MONTH(D592)</f>
        <v>9</v>
      </c>
      <c r="F592" s="14" t="s">
        <v>56</v>
      </c>
      <c r="G592" s="14" t="s">
        <v>50</v>
      </c>
      <c r="H592" s="14" t="s">
        <v>45</v>
      </c>
      <c r="I592" s="16" t="n">
        <v>390.7</v>
      </c>
      <c r="J592" s="17" t="n">
        <v>0.9437</v>
      </c>
      <c r="K592" s="18" t="n">
        <v>120.39</v>
      </c>
      <c r="L592" s="18" t="n">
        <v>403.73</v>
      </c>
      <c r="M592" s="18" t="n">
        <f aca="false">IF(J592="","",ROUND(MAX(I592*J592,K592),2))</f>
        <v>368.7</v>
      </c>
      <c r="N592" s="18" t="n">
        <f aca="false">IF(M592="","",ROUND(L592-M592,2))</f>
        <v>35.03</v>
      </c>
      <c r="O592" s="19" t="n">
        <f aca="false">IF(M592="","",N592/M592)</f>
        <v>0.0950094928125848</v>
      </c>
      <c r="P592" s="14" t="str">
        <f aca="false">IF(M592="","SEM TARIFA NO CONTRATO",IF(N592&gt;Resumo!$B$4,"ACIMA DA TABELA",IF(N592&lt;-Resumo!$B$4,"ABAIXO DA TABELA","OK")))</f>
        <v>ACIMA DA TABELA</v>
      </c>
    </row>
    <row r="593" customFormat="false" ht="15" hidden="false" customHeight="false" outlineLevel="0" collapsed="false">
      <c r="A593" s="14" t="s">
        <v>1235</v>
      </c>
      <c r="B593" s="14" t="s">
        <v>1236</v>
      </c>
      <c r="C593" s="14" t="s">
        <v>25</v>
      </c>
      <c r="D593" s="15" t="n">
        <v>46277</v>
      </c>
      <c r="E593" s="14" t="n">
        <f aca="false">MONTH(D593)</f>
        <v>9</v>
      </c>
      <c r="F593" s="14" t="s">
        <v>49</v>
      </c>
      <c r="G593" s="14" t="s">
        <v>50</v>
      </c>
      <c r="H593" s="14" t="s">
        <v>51</v>
      </c>
      <c r="I593" s="16" t="n">
        <v>602.7</v>
      </c>
      <c r="J593" s="17"/>
      <c r="K593" s="18"/>
      <c r="L593" s="18" t="n">
        <v>3344.99</v>
      </c>
      <c r="M593" s="18" t="str">
        <f aca="false">IF(J593="","",ROUND(MAX(I593*J593,K593),2))</f>
        <v/>
      </c>
      <c r="N593" s="18" t="str">
        <f aca="false">IF(M593="","",ROUND(L593-M593,2))</f>
        <v/>
      </c>
      <c r="O593" s="19" t="str">
        <f aca="false">IF(M593="","",N593/M593)</f>
        <v/>
      </c>
      <c r="P593" s="14" t="str">
        <f aca="false">IF(M593="","SEM TARIFA NO CONTRATO",IF(N593&gt;Resumo!$B$4,"ACIMA DA TABELA",IF(N593&lt;-Resumo!$B$4,"ABAIXO DA TABELA","OK")))</f>
        <v>SEM TARIFA NO CONTRATO</v>
      </c>
    </row>
    <row r="594" customFormat="false" ht="15" hidden="false" customHeight="false" outlineLevel="0" collapsed="false">
      <c r="A594" s="14" t="s">
        <v>1237</v>
      </c>
      <c r="B594" s="14" t="s">
        <v>1238</v>
      </c>
      <c r="C594" s="14" t="s">
        <v>25</v>
      </c>
      <c r="D594" s="15" t="n">
        <v>46279</v>
      </c>
      <c r="E594" s="14" t="n">
        <f aca="false">MONTH(D594)</f>
        <v>9</v>
      </c>
      <c r="F594" s="14" t="s">
        <v>56</v>
      </c>
      <c r="G594" s="14" t="s">
        <v>50</v>
      </c>
      <c r="H594" s="14" t="s">
        <v>45</v>
      </c>
      <c r="I594" s="16" t="n">
        <v>474.5</v>
      </c>
      <c r="J594" s="17" t="n">
        <v>0.8539</v>
      </c>
      <c r="K594" s="18" t="n">
        <v>108.93</v>
      </c>
      <c r="L594" s="18" t="n">
        <v>405.51</v>
      </c>
      <c r="M594" s="18" t="n">
        <f aca="false">IF(J594="","",ROUND(MAX(I594*J594,K594),2))</f>
        <v>405.18</v>
      </c>
      <c r="N594" s="18" t="n">
        <f aca="false">IF(M594="","",ROUND(L594-M594,2))</f>
        <v>0.33</v>
      </c>
      <c r="O594" s="19" t="n">
        <f aca="false">IF(M594="","",N594/M594)</f>
        <v>0.000814452835776692</v>
      </c>
      <c r="P594" s="14" t="str">
        <f aca="false">IF(M594="","SEM TARIFA NO CONTRATO",IF(N594&gt;Resumo!$B$4,"ACIMA DA TABELA",IF(N594&lt;-Resumo!$B$4,"ABAIXO DA TABELA","OK")))</f>
        <v>OK</v>
      </c>
    </row>
    <row r="595" customFormat="false" ht="15" hidden="false" customHeight="false" outlineLevel="0" collapsed="false">
      <c r="A595" s="14" t="s">
        <v>1239</v>
      </c>
      <c r="B595" s="14" t="s">
        <v>1240</v>
      </c>
      <c r="C595" s="14" t="s">
        <v>25</v>
      </c>
      <c r="D595" s="15" t="n">
        <v>46279</v>
      </c>
      <c r="E595" s="14" t="n">
        <f aca="false">MONTH(D595)</f>
        <v>9</v>
      </c>
      <c r="F595" s="14" t="s">
        <v>73</v>
      </c>
      <c r="G595" s="14" t="s">
        <v>50</v>
      </c>
      <c r="H595" s="14" t="s">
        <v>74</v>
      </c>
      <c r="I595" s="16" t="n">
        <v>1007.7</v>
      </c>
      <c r="J595" s="17" t="n">
        <v>1.1411</v>
      </c>
      <c r="K595" s="18" t="n">
        <v>130.47</v>
      </c>
      <c r="L595" s="18" t="n">
        <v>1149.81</v>
      </c>
      <c r="M595" s="18" t="n">
        <f aca="false">IF(J595="","",ROUND(MAX(I595*J595,K595),2))</f>
        <v>1149.89</v>
      </c>
      <c r="N595" s="18" t="n">
        <f aca="false">IF(M595="","",ROUND(L595-M595,2))</f>
        <v>-0.08</v>
      </c>
      <c r="O595" s="19" t="n">
        <f aca="false">IF(M595="","",N595/M595)</f>
        <v>-6.95718720921132E-005</v>
      </c>
      <c r="P595" s="14" t="str">
        <f aca="false">IF(M595="","SEM TARIFA NO CONTRATO",IF(N595&gt;Resumo!$B$4,"ACIMA DA TABELA",IF(N595&lt;-Resumo!$B$4,"ABAIXO DA TABELA","OK")))</f>
        <v>OK</v>
      </c>
    </row>
    <row r="596" customFormat="false" ht="15" hidden="false" customHeight="false" outlineLevel="0" collapsed="false">
      <c r="A596" s="14" t="s">
        <v>1241</v>
      </c>
      <c r="B596" s="14" t="s">
        <v>1242</v>
      </c>
      <c r="C596" s="14" t="s">
        <v>24</v>
      </c>
      <c r="D596" s="15" t="n">
        <v>46280</v>
      </c>
      <c r="E596" s="14" t="n">
        <f aca="false">MONTH(D596)</f>
        <v>9</v>
      </c>
      <c r="F596" s="14" t="s">
        <v>44</v>
      </c>
      <c r="G596" s="14" t="s">
        <v>45</v>
      </c>
      <c r="H596" s="14" t="s">
        <v>46</v>
      </c>
      <c r="I596" s="16" t="n">
        <v>1891.7</v>
      </c>
      <c r="J596" s="17" t="n">
        <v>0.8988</v>
      </c>
      <c r="K596" s="18" t="n">
        <v>114.66</v>
      </c>
      <c r="L596" s="18" t="n">
        <v>1700.37</v>
      </c>
      <c r="M596" s="18" t="n">
        <f aca="false">IF(J596="","",ROUND(MAX(I596*J596,K596),2))</f>
        <v>1700.26</v>
      </c>
      <c r="N596" s="18" t="n">
        <f aca="false">IF(M596="","",ROUND(L596-M596,2))</f>
        <v>0.11</v>
      </c>
      <c r="O596" s="19" t="n">
        <f aca="false">IF(M596="","",N596/M596)</f>
        <v>6.46959876724736E-005</v>
      </c>
      <c r="P596" s="14" t="str">
        <f aca="false">IF(M596="","SEM TARIFA NO CONTRATO",IF(N596&gt;Resumo!$B$4,"ACIMA DA TABELA",IF(N596&lt;-Resumo!$B$4,"ABAIXO DA TABELA","OK")))</f>
        <v>OK</v>
      </c>
    </row>
    <row r="597" customFormat="false" ht="15" hidden="false" customHeight="false" outlineLevel="0" collapsed="false">
      <c r="A597" s="14" t="s">
        <v>1243</v>
      </c>
      <c r="B597" s="14" t="s">
        <v>1244</v>
      </c>
      <c r="C597" s="14" t="s">
        <v>22</v>
      </c>
      <c r="D597" s="15" t="n">
        <v>46281</v>
      </c>
      <c r="E597" s="14" t="n">
        <f aca="false">MONTH(D597)</f>
        <v>9</v>
      </c>
      <c r="F597" s="14" t="s">
        <v>118</v>
      </c>
      <c r="G597" s="14" t="s">
        <v>50</v>
      </c>
      <c r="H597" s="14" t="s">
        <v>119</v>
      </c>
      <c r="I597" s="16" t="n">
        <v>146.3</v>
      </c>
      <c r="J597" s="17" t="n">
        <v>3.6779</v>
      </c>
      <c r="K597" s="18" t="n">
        <v>325.46</v>
      </c>
      <c r="L597" s="18" t="n">
        <v>589.19</v>
      </c>
      <c r="M597" s="18" t="n">
        <f aca="false">IF(J597="","",ROUND(MAX(I597*J597,K597),2))</f>
        <v>538.08</v>
      </c>
      <c r="N597" s="18" t="n">
        <f aca="false">IF(M597="","",ROUND(L597-M597,2))</f>
        <v>51.11</v>
      </c>
      <c r="O597" s="19" t="n">
        <f aca="false">IF(M597="","",N597/M597)</f>
        <v>0.0949858757062147</v>
      </c>
      <c r="P597" s="14" t="str">
        <f aca="false">IF(M597="","SEM TARIFA NO CONTRATO",IF(N597&gt;Resumo!$B$4,"ACIMA DA TABELA",IF(N597&lt;-Resumo!$B$4,"ABAIXO DA TABELA","OK")))</f>
        <v>ACIMA DA TABELA</v>
      </c>
    </row>
    <row r="598" customFormat="false" ht="15" hidden="false" customHeight="false" outlineLevel="0" collapsed="false">
      <c r="A598" s="14" t="s">
        <v>1245</v>
      </c>
      <c r="B598" s="14" t="s">
        <v>1246</v>
      </c>
      <c r="C598" s="14" t="s">
        <v>24</v>
      </c>
      <c r="D598" s="15" t="n">
        <v>46281</v>
      </c>
      <c r="E598" s="14" t="n">
        <f aca="false">MONTH(D598)</f>
        <v>9</v>
      </c>
      <c r="F598" s="14" t="s">
        <v>79</v>
      </c>
      <c r="G598" s="14" t="s">
        <v>50</v>
      </c>
      <c r="H598" s="14" t="s">
        <v>46</v>
      </c>
      <c r="I598" s="16" t="n">
        <v>107.9</v>
      </c>
      <c r="J598" s="17" t="n">
        <v>0.378</v>
      </c>
      <c r="K598" s="18" t="n">
        <v>75.6</v>
      </c>
      <c r="L598" s="18" t="n">
        <v>75.55</v>
      </c>
      <c r="M598" s="18" t="n">
        <f aca="false">IF(J598="","",ROUND(MAX(I598*J598,K598),2))</f>
        <v>75.6</v>
      </c>
      <c r="N598" s="18" t="n">
        <f aca="false">IF(M598="","",ROUND(L598-M598,2))</f>
        <v>-0.05</v>
      </c>
      <c r="O598" s="19" t="n">
        <f aca="false">IF(M598="","",N598/M598)</f>
        <v>-0.000661375661375661</v>
      </c>
      <c r="P598" s="14" t="str">
        <f aca="false">IF(M598="","SEM TARIFA NO CONTRATO",IF(N598&gt;Resumo!$B$4,"ACIMA DA TABELA",IF(N598&lt;-Resumo!$B$4,"ABAIXO DA TABELA","OK")))</f>
        <v>OK</v>
      </c>
    </row>
    <row r="599" customFormat="false" ht="15" hidden="false" customHeight="false" outlineLevel="0" collapsed="false">
      <c r="A599" s="14" t="s">
        <v>1247</v>
      </c>
      <c r="B599" s="14" t="s">
        <v>1248</v>
      </c>
      <c r="C599" s="14" t="s">
        <v>25</v>
      </c>
      <c r="D599" s="15" t="n">
        <v>46282</v>
      </c>
      <c r="E599" s="14" t="n">
        <f aca="false">MONTH(D599)</f>
        <v>9</v>
      </c>
      <c r="F599" s="14" t="s">
        <v>44</v>
      </c>
      <c r="G599" s="14" t="s">
        <v>45</v>
      </c>
      <c r="H599" s="14" t="s">
        <v>46</v>
      </c>
      <c r="I599" s="16" t="n">
        <v>601</v>
      </c>
      <c r="J599" s="17" t="n">
        <v>0.8539</v>
      </c>
      <c r="K599" s="18" t="n">
        <v>108.93</v>
      </c>
      <c r="L599" s="18" t="n">
        <v>513.4</v>
      </c>
      <c r="M599" s="18" t="n">
        <f aca="false">IF(J599="","",ROUND(MAX(I599*J599,K599),2))</f>
        <v>513.19</v>
      </c>
      <c r="N599" s="18" t="n">
        <f aca="false">IF(M599="","",ROUND(L599-M599,2))</f>
        <v>0.21</v>
      </c>
      <c r="O599" s="19" t="n">
        <f aca="false">IF(M599="","",N599/M599)</f>
        <v>0.000409205167676689</v>
      </c>
      <c r="P599" s="14" t="str">
        <f aca="false">IF(M599="","SEM TARIFA NO CONTRATO",IF(N599&gt;Resumo!$B$4,"ACIMA DA TABELA",IF(N599&lt;-Resumo!$B$4,"ABAIXO DA TABELA","OK")))</f>
        <v>OK</v>
      </c>
    </row>
    <row r="600" customFormat="false" ht="15" hidden="false" customHeight="false" outlineLevel="0" collapsed="false">
      <c r="A600" s="14" t="s">
        <v>1249</v>
      </c>
      <c r="B600" s="14" t="s">
        <v>1250</v>
      </c>
      <c r="C600" s="14" t="s">
        <v>24</v>
      </c>
      <c r="D600" s="15" t="n">
        <v>46282</v>
      </c>
      <c r="E600" s="14" t="n">
        <f aca="false">MONTH(D600)</f>
        <v>9</v>
      </c>
      <c r="F600" s="14" t="s">
        <v>67</v>
      </c>
      <c r="G600" s="14" t="s">
        <v>50</v>
      </c>
      <c r="H600" s="14" t="s">
        <v>68</v>
      </c>
      <c r="I600" s="16" t="n">
        <v>1209.7</v>
      </c>
      <c r="J600" s="17" t="n">
        <v>2.058</v>
      </c>
      <c r="K600" s="18" t="n">
        <v>201.6</v>
      </c>
      <c r="L600" s="18" t="n">
        <v>2489.18</v>
      </c>
      <c r="M600" s="18" t="n">
        <f aca="false">IF(J600="","",ROUND(MAX(I600*J600,K600),2))</f>
        <v>2489.56</v>
      </c>
      <c r="N600" s="18" t="n">
        <f aca="false">IF(M600="","",ROUND(L600-M600,2))</f>
        <v>-0.38</v>
      </c>
      <c r="O600" s="19" t="n">
        <f aca="false">IF(M600="","",N600/M600)</f>
        <v>-0.000152637413840197</v>
      </c>
      <c r="P600" s="14" t="str">
        <f aca="false">IF(M600="","SEM TARIFA NO CONTRATO",IF(N600&gt;Resumo!$B$4,"ACIMA DA TABELA",IF(N600&lt;-Resumo!$B$4,"ABAIXO DA TABELA","OK")))</f>
        <v>OK</v>
      </c>
    </row>
    <row r="601" customFormat="false" ht="15" hidden="false" customHeight="false" outlineLevel="0" collapsed="false">
      <c r="A601" s="14" t="s">
        <v>1251</v>
      </c>
      <c r="B601" s="14" t="s">
        <v>1252</v>
      </c>
      <c r="C601" s="14" t="s">
        <v>24</v>
      </c>
      <c r="D601" s="15" t="n">
        <v>46282</v>
      </c>
      <c r="E601" s="14" t="n">
        <f aca="false">MONTH(D601)</f>
        <v>9</v>
      </c>
      <c r="F601" s="14" t="s">
        <v>73</v>
      </c>
      <c r="G601" s="14" t="s">
        <v>50</v>
      </c>
      <c r="H601" s="14" t="s">
        <v>74</v>
      </c>
      <c r="I601" s="16" t="n">
        <v>249.7</v>
      </c>
      <c r="J601" s="17" t="n">
        <v>1.2012</v>
      </c>
      <c r="K601" s="18" t="n">
        <v>137.34</v>
      </c>
      <c r="L601" s="18" t="n">
        <v>299.96</v>
      </c>
      <c r="M601" s="18" t="n">
        <f aca="false">IF(J601="","",ROUND(MAX(I601*J601,K601),2))</f>
        <v>299.94</v>
      </c>
      <c r="N601" s="18" t="n">
        <f aca="false">IF(M601="","",ROUND(L601-M601,2))</f>
        <v>0.02</v>
      </c>
      <c r="O601" s="19" t="n">
        <f aca="false">IF(M601="","",N601/M601)</f>
        <v>6.66800026672001E-005</v>
      </c>
      <c r="P601" s="14" t="str">
        <f aca="false">IF(M601="","SEM TARIFA NO CONTRATO",IF(N601&gt;Resumo!$B$4,"ACIMA DA TABELA",IF(N601&lt;-Resumo!$B$4,"ABAIXO DA TABELA","OK")))</f>
        <v>OK</v>
      </c>
    </row>
    <row r="602" customFormat="false" ht="15" hidden="false" customHeight="false" outlineLevel="0" collapsed="false">
      <c r="A602" s="14" t="s">
        <v>1253</v>
      </c>
      <c r="B602" s="14" t="s">
        <v>1254</v>
      </c>
      <c r="C602" s="14" t="s">
        <v>22</v>
      </c>
      <c r="D602" s="15" t="n">
        <v>46283</v>
      </c>
      <c r="E602" s="14" t="n">
        <f aca="false">MONTH(D602)</f>
        <v>9</v>
      </c>
      <c r="F602" s="14" t="s">
        <v>67</v>
      </c>
      <c r="G602" s="14" t="s">
        <v>50</v>
      </c>
      <c r="H602" s="14" t="s">
        <v>68</v>
      </c>
      <c r="I602" s="16" t="n">
        <v>1236.7</v>
      </c>
      <c r="J602" s="17" t="n">
        <v>2.1609</v>
      </c>
      <c r="K602" s="18" t="n">
        <v>211.68</v>
      </c>
      <c r="L602" s="18" t="n">
        <v>2672.08</v>
      </c>
      <c r="M602" s="18" t="n">
        <f aca="false">IF(J602="","",ROUND(MAX(I602*J602,K602),2))</f>
        <v>2672.39</v>
      </c>
      <c r="N602" s="18" t="n">
        <f aca="false">IF(M602="","",ROUND(L602-M602,2))</f>
        <v>-0.31</v>
      </c>
      <c r="O602" s="19" t="n">
        <f aca="false">IF(M602="","",N602/M602)</f>
        <v>-0.000116001032783389</v>
      </c>
      <c r="P602" s="14" t="str">
        <f aca="false">IF(M602="","SEM TARIFA NO CONTRATO",IF(N602&gt;Resumo!$B$4,"ACIMA DA TABELA",IF(N602&lt;-Resumo!$B$4,"ABAIXO DA TABELA","OK")))</f>
        <v>OK</v>
      </c>
    </row>
    <row r="603" customFormat="false" ht="15" hidden="false" customHeight="false" outlineLevel="0" collapsed="false">
      <c r="A603" s="14" t="s">
        <v>1255</v>
      </c>
      <c r="B603" s="14" t="s">
        <v>1256</v>
      </c>
      <c r="C603" s="14" t="s">
        <v>22</v>
      </c>
      <c r="D603" s="15" t="n">
        <v>46283</v>
      </c>
      <c r="E603" s="14" t="n">
        <f aca="false">MONTH(D603)</f>
        <v>9</v>
      </c>
      <c r="F603" s="14" t="s">
        <v>56</v>
      </c>
      <c r="G603" s="14" t="s">
        <v>50</v>
      </c>
      <c r="H603" s="14" t="s">
        <v>45</v>
      </c>
      <c r="I603" s="16" t="n">
        <v>420.5</v>
      </c>
      <c r="J603" s="17" t="n">
        <v>0.9437</v>
      </c>
      <c r="K603" s="18" t="n">
        <v>120.39</v>
      </c>
      <c r="L603" s="18" t="n">
        <v>434.52</v>
      </c>
      <c r="M603" s="18" t="n">
        <f aca="false">IF(J603="","",ROUND(MAX(I603*J603,K603),2))</f>
        <v>396.83</v>
      </c>
      <c r="N603" s="18" t="n">
        <f aca="false">IF(M603="","",ROUND(L603-M603,2))</f>
        <v>37.69</v>
      </c>
      <c r="O603" s="19" t="n">
        <f aca="false">IF(M603="","",N603/M603)</f>
        <v>0.0949776982587002</v>
      </c>
      <c r="P603" s="14" t="str">
        <f aca="false">IF(M603="","SEM TARIFA NO CONTRATO",IF(N603&gt;Resumo!$B$4,"ACIMA DA TABELA",IF(N603&lt;-Resumo!$B$4,"ABAIXO DA TABELA","OK")))</f>
        <v>ACIMA DA TABELA</v>
      </c>
    </row>
    <row r="604" customFormat="false" ht="15" hidden="false" customHeight="false" outlineLevel="0" collapsed="false">
      <c r="A604" s="14" t="s">
        <v>1257</v>
      </c>
      <c r="B604" s="14" t="s">
        <v>1258</v>
      </c>
      <c r="C604" s="14" t="s">
        <v>21</v>
      </c>
      <c r="D604" s="15" t="n">
        <v>46283</v>
      </c>
      <c r="E604" s="14" t="n">
        <f aca="false">MONTH(D604)</f>
        <v>9</v>
      </c>
      <c r="F604" s="14" t="s">
        <v>49</v>
      </c>
      <c r="G604" s="14" t="s">
        <v>50</v>
      </c>
      <c r="H604" s="14" t="s">
        <v>51</v>
      </c>
      <c r="I604" s="16" t="n">
        <v>584.9</v>
      </c>
      <c r="J604" s="17" t="n">
        <v>5.1282</v>
      </c>
      <c r="K604" s="18" t="n">
        <v>436.59</v>
      </c>
      <c r="L604" s="18" t="n">
        <v>2999.32</v>
      </c>
      <c r="M604" s="18" t="n">
        <f aca="false">IF(J604="","",ROUND(MAX(I604*J604,K604),2))</f>
        <v>2999.48</v>
      </c>
      <c r="N604" s="18" t="n">
        <f aca="false">IF(M604="","",ROUND(L604-M604,2))</f>
        <v>-0.16</v>
      </c>
      <c r="O604" s="19" t="n">
        <f aca="false">IF(M604="","",N604/M604)</f>
        <v>-5.33425793804259E-005</v>
      </c>
      <c r="P604" s="14" t="str">
        <f aca="false">IF(M604="","SEM TARIFA NO CONTRATO",IF(N604&gt;Resumo!$B$4,"ACIMA DA TABELA",IF(N604&lt;-Resumo!$B$4,"ABAIXO DA TABELA","OK")))</f>
        <v>OK</v>
      </c>
    </row>
    <row r="605" customFormat="false" ht="15" hidden="false" customHeight="false" outlineLevel="0" collapsed="false">
      <c r="A605" s="14" t="s">
        <v>1259</v>
      </c>
      <c r="B605" s="14" t="s">
        <v>1260</v>
      </c>
      <c r="C605" s="14" t="s">
        <v>24</v>
      </c>
      <c r="D605" s="15" t="n">
        <v>46284</v>
      </c>
      <c r="E605" s="14" t="n">
        <f aca="false">MONTH(D605)</f>
        <v>9</v>
      </c>
      <c r="F605" s="14" t="s">
        <v>56</v>
      </c>
      <c r="G605" s="14" t="s">
        <v>50</v>
      </c>
      <c r="H605" s="14" t="s">
        <v>45</v>
      </c>
      <c r="I605" s="16" t="n">
        <v>320</v>
      </c>
      <c r="J605" s="17" t="n">
        <v>0.8988</v>
      </c>
      <c r="K605" s="18" t="n">
        <v>114.66</v>
      </c>
      <c r="L605" s="18" t="n">
        <v>287.67</v>
      </c>
      <c r="M605" s="18" t="n">
        <f aca="false">IF(J605="","",ROUND(MAX(I605*J605,K605),2))</f>
        <v>287.62</v>
      </c>
      <c r="N605" s="18" t="n">
        <f aca="false">IF(M605="","",ROUND(L605-M605,2))</f>
        <v>0.05</v>
      </c>
      <c r="O605" s="19" t="n">
        <f aca="false">IF(M605="","",N605/M605)</f>
        <v>0.000173840483971907</v>
      </c>
      <c r="P605" s="14" t="str">
        <f aca="false">IF(M605="","SEM TARIFA NO CONTRATO",IF(N605&gt;Resumo!$B$4,"ACIMA DA TABELA",IF(N605&lt;-Resumo!$B$4,"ABAIXO DA TABELA","OK")))</f>
        <v>OK</v>
      </c>
    </row>
    <row r="606" customFormat="false" ht="15" hidden="false" customHeight="false" outlineLevel="0" collapsed="false">
      <c r="A606" s="14" t="s">
        <v>1261</v>
      </c>
      <c r="B606" s="14" t="s">
        <v>1262</v>
      </c>
      <c r="C606" s="14" t="s">
        <v>22</v>
      </c>
      <c r="D606" s="15" t="n">
        <v>46284</v>
      </c>
      <c r="E606" s="14" t="n">
        <f aca="false">MONTH(D606)</f>
        <v>9</v>
      </c>
      <c r="F606" s="14" t="s">
        <v>56</v>
      </c>
      <c r="G606" s="14" t="s">
        <v>50</v>
      </c>
      <c r="H606" s="14" t="s">
        <v>45</v>
      </c>
      <c r="I606" s="16" t="n">
        <v>131.9</v>
      </c>
      <c r="J606" s="17" t="n">
        <v>0.9437</v>
      </c>
      <c r="K606" s="18" t="n">
        <v>120.39</v>
      </c>
      <c r="L606" s="18" t="n">
        <v>136.3</v>
      </c>
      <c r="M606" s="18" t="n">
        <f aca="false">IF(J606="","",ROUND(MAX(I606*J606,K606),2))</f>
        <v>124.47</v>
      </c>
      <c r="N606" s="18" t="n">
        <f aca="false">IF(M606="","",ROUND(L606-M606,2))</f>
        <v>11.83</v>
      </c>
      <c r="O606" s="19" t="n">
        <f aca="false">IF(M606="","",N606/M606)</f>
        <v>0.0950429822447176</v>
      </c>
      <c r="P606" s="14" t="str">
        <f aca="false">IF(M606="","SEM TARIFA NO CONTRATO",IF(N606&gt;Resumo!$B$4,"ACIMA DA TABELA",IF(N606&lt;-Resumo!$B$4,"ABAIXO DA TABELA","OK")))</f>
        <v>ACIMA DA TABELA</v>
      </c>
    </row>
    <row r="607" customFormat="false" ht="15" hidden="false" customHeight="false" outlineLevel="0" collapsed="false">
      <c r="A607" s="14" t="s">
        <v>1263</v>
      </c>
      <c r="B607" s="14" t="s">
        <v>1264</v>
      </c>
      <c r="C607" s="14" t="s">
        <v>21</v>
      </c>
      <c r="D607" s="15" t="n">
        <v>46284</v>
      </c>
      <c r="E607" s="14" t="n">
        <f aca="false">MONTH(D607)</f>
        <v>9</v>
      </c>
      <c r="F607" s="14" t="s">
        <v>67</v>
      </c>
      <c r="G607" s="14" t="s">
        <v>50</v>
      </c>
      <c r="H607" s="14" t="s">
        <v>68</v>
      </c>
      <c r="I607" s="16" t="n">
        <v>1593.9</v>
      </c>
      <c r="J607" s="17" t="n">
        <v>2.2638</v>
      </c>
      <c r="K607" s="18" t="n">
        <v>221.76</v>
      </c>
      <c r="L607" s="18" t="n">
        <v>3957.93</v>
      </c>
      <c r="M607" s="18" t="n">
        <f aca="false">IF(J607="","",ROUND(MAX(I607*J607,K607),2))</f>
        <v>3608.27</v>
      </c>
      <c r="N607" s="18" t="n">
        <f aca="false">IF(M607="","",ROUND(L607-M607,2))</f>
        <v>349.66</v>
      </c>
      <c r="O607" s="19" t="n">
        <f aca="false">IF(M607="","",N607/M607)</f>
        <v>0.0969051650791099</v>
      </c>
      <c r="P607" s="14" t="str">
        <f aca="false">IF(M607="","SEM TARIFA NO CONTRATO",IF(N607&gt;Resumo!$B$4,"ACIMA DA TABELA",IF(N607&lt;-Resumo!$B$4,"ABAIXO DA TABELA","OK")))</f>
        <v>ACIMA DA TABELA</v>
      </c>
    </row>
    <row r="608" customFormat="false" ht="15" hidden="false" customHeight="false" outlineLevel="0" collapsed="false">
      <c r="A608" s="14" t="s">
        <v>1265</v>
      </c>
      <c r="B608" s="14" t="s">
        <v>1266</v>
      </c>
      <c r="C608" s="14" t="s">
        <v>22</v>
      </c>
      <c r="D608" s="15" t="n">
        <v>46286</v>
      </c>
      <c r="E608" s="14" t="n">
        <f aca="false">MONTH(D608)</f>
        <v>9</v>
      </c>
      <c r="F608" s="14" t="s">
        <v>67</v>
      </c>
      <c r="G608" s="14" t="s">
        <v>50</v>
      </c>
      <c r="H608" s="14" t="s">
        <v>68</v>
      </c>
      <c r="I608" s="16" t="n">
        <v>1145.1</v>
      </c>
      <c r="J608" s="17" t="n">
        <v>2.1609</v>
      </c>
      <c r="K608" s="18" t="n">
        <v>211.68</v>
      </c>
      <c r="L608" s="18" t="n">
        <v>2474.08</v>
      </c>
      <c r="M608" s="18" t="n">
        <f aca="false">IF(J608="","",ROUND(MAX(I608*J608,K608),2))</f>
        <v>2474.45</v>
      </c>
      <c r="N608" s="18" t="n">
        <f aca="false">IF(M608="","",ROUND(L608-M608,2))</f>
        <v>-0.37</v>
      </c>
      <c r="O608" s="19" t="n">
        <f aca="false">IF(M608="","",N608/M608)</f>
        <v>-0.000149528177978945</v>
      </c>
      <c r="P608" s="14" t="str">
        <f aca="false">IF(M608="","SEM TARIFA NO CONTRATO",IF(N608&gt;Resumo!$B$4,"ACIMA DA TABELA",IF(N608&lt;-Resumo!$B$4,"ABAIXO DA TABELA","OK")))</f>
        <v>OK</v>
      </c>
    </row>
    <row r="609" customFormat="false" ht="15" hidden="false" customHeight="false" outlineLevel="0" collapsed="false">
      <c r="A609" s="14" t="s">
        <v>1267</v>
      </c>
      <c r="B609" s="14" t="s">
        <v>1268</v>
      </c>
      <c r="C609" s="14" t="s">
        <v>21</v>
      </c>
      <c r="D609" s="15" t="n">
        <v>46289</v>
      </c>
      <c r="E609" s="14" t="n">
        <f aca="false">MONTH(D609)</f>
        <v>9</v>
      </c>
      <c r="F609" s="14" t="s">
        <v>67</v>
      </c>
      <c r="G609" s="14" t="s">
        <v>50</v>
      </c>
      <c r="H609" s="14" t="s">
        <v>68</v>
      </c>
      <c r="I609" s="16" t="n">
        <v>295.7</v>
      </c>
      <c r="J609" s="17" t="n">
        <v>2.2638</v>
      </c>
      <c r="K609" s="18" t="n">
        <v>221.76</v>
      </c>
      <c r="L609" s="18" t="n">
        <v>669.63</v>
      </c>
      <c r="M609" s="18" t="n">
        <f aca="false">IF(J609="","",ROUND(MAX(I609*J609,K609),2))</f>
        <v>669.41</v>
      </c>
      <c r="N609" s="18" t="n">
        <f aca="false">IF(M609="","",ROUND(L609-M609,2))</f>
        <v>0.22</v>
      </c>
      <c r="O609" s="19" t="n">
        <f aca="false">IF(M609="","",N609/M609)</f>
        <v>0.000328647615064012</v>
      </c>
      <c r="P609" s="14" t="str">
        <f aca="false">IF(M609="","SEM TARIFA NO CONTRATO",IF(N609&gt;Resumo!$B$4,"ACIMA DA TABELA",IF(N609&lt;-Resumo!$B$4,"ABAIXO DA TABELA","OK")))</f>
        <v>OK</v>
      </c>
    </row>
    <row r="610" customFormat="false" ht="15" hidden="false" customHeight="false" outlineLevel="0" collapsed="false">
      <c r="A610" s="14" t="s">
        <v>1269</v>
      </c>
      <c r="B610" s="14" t="s">
        <v>1270</v>
      </c>
      <c r="C610" s="14" t="s">
        <v>23</v>
      </c>
      <c r="D610" s="15" t="n">
        <v>46289</v>
      </c>
      <c r="E610" s="14" t="n">
        <f aca="false">MONTH(D610)</f>
        <v>9</v>
      </c>
      <c r="F610" s="14" t="s">
        <v>49</v>
      </c>
      <c r="G610" s="14" t="s">
        <v>50</v>
      </c>
      <c r="H610" s="14" t="s">
        <v>51</v>
      </c>
      <c r="I610" s="16" t="n">
        <v>616.9</v>
      </c>
      <c r="J610" s="17" t="n">
        <v>4.289</v>
      </c>
      <c r="K610" s="18" t="n">
        <v>365.15</v>
      </c>
      <c r="L610" s="18" t="n">
        <v>2646.19</v>
      </c>
      <c r="M610" s="18" t="n">
        <f aca="false">IF(J610="","",ROUND(MAX(I610*J610,K610),2))</f>
        <v>2645.88</v>
      </c>
      <c r="N610" s="18" t="n">
        <f aca="false">IF(M610="","",ROUND(L610-M610,2))</f>
        <v>0.31</v>
      </c>
      <c r="O610" s="19" t="n">
        <f aca="false">IF(M610="","",N610/M610)</f>
        <v>0.000117163287828624</v>
      </c>
      <c r="P610" s="14" t="str">
        <f aca="false">IF(M610="","SEM TARIFA NO CONTRATO",IF(N610&gt;Resumo!$B$4,"ACIMA DA TABELA",IF(N610&lt;-Resumo!$B$4,"ABAIXO DA TABELA","OK")))</f>
        <v>OK</v>
      </c>
    </row>
    <row r="611" customFormat="false" ht="15" hidden="false" customHeight="false" outlineLevel="0" collapsed="false">
      <c r="A611" s="14" t="s">
        <v>1271</v>
      </c>
      <c r="B611" s="14" t="s">
        <v>1272</v>
      </c>
      <c r="C611" s="14" t="s">
        <v>25</v>
      </c>
      <c r="D611" s="15" t="n">
        <v>46289</v>
      </c>
      <c r="E611" s="14" t="n">
        <f aca="false">MONTH(D611)</f>
        <v>9</v>
      </c>
      <c r="F611" s="14" t="s">
        <v>44</v>
      </c>
      <c r="G611" s="14" t="s">
        <v>45</v>
      </c>
      <c r="H611" s="14" t="s">
        <v>46</v>
      </c>
      <c r="I611" s="16" t="n">
        <v>182.8</v>
      </c>
      <c r="J611" s="17" t="n">
        <v>0.8539</v>
      </c>
      <c r="K611" s="18" t="n">
        <v>108.93</v>
      </c>
      <c r="L611" s="18" t="n">
        <v>155.7</v>
      </c>
      <c r="M611" s="18" t="n">
        <f aca="false">IF(J611="","",ROUND(MAX(I611*J611,K611),2))</f>
        <v>156.09</v>
      </c>
      <c r="N611" s="18" t="n">
        <f aca="false">IF(M611="","",ROUND(L611-M611,2))</f>
        <v>-0.39</v>
      </c>
      <c r="O611" s="19" t="n">
        <f aca="false">IF(M611="","",N611/M611)</f>
        <v>-0.0024985585239285</v>
      </c>
      <c r="P611" s="14" t="str">
        <f aca="false">IF(M611="","SEM TARIFA NO CONTRATO",IF(N611&gt;Resumo!$B$4,"ACIMA DA TABELA",IF(N611&lt;-Resumo!$B$4,"ABAIXO DA TABELA","OK")))</f>
        <v>OK</v>
      </c>
    </row>
    <row r="612" customFormat="false" ht="15" hidden="false" customHeight="false" outlineLevel="0" collapsed="false">
      <c r="A612" s="14" t="s">
        <v>1273</v>
      </c>
      <c r="B612" s="14" t="s">
        <v>1274</v>
      </c>
      <c r="C612" s="14" t="s">
        <v>22</v>
      </c>
      <c r="D612" s="15" t="n">
        <v>46289</v>
      </c>
      <c r="E612" s="14" t="n">
        <f aca="false">MONTH(D612)</f>
        <v>9</v>
      </c>
      <c r="F612" s="14" t="s">
        <v>73</v>
      </c>
      <c r="G612" s="14" t="s">
        <v>50</v>
      </c>
      <c r="H612" s="14" t="s">
        <v>74</v>
      </c>
      <c r="I612" s="16" t="n">
        <v>162.3</v>
      </c>
      <c r="J612" s="17" t="n">
        <v>1.2613</v>
      </c>
      <c r="K612" s="18" t="n">
        <v>144.21</v>
      </c>
      <c r="L612" s="18" t="n">
        <v>205.01</v>
      </c>
      <c r="M612" s="18" t="n">
        <f aca="false">IF(J612="","",ROUND(MAX(I612*J612,K612),2))</f>
        <v>204.71</v>
      </c>
      <c r="N612" s="18" t="n">
        <f aca="false">IF(M612="","",ROUND(L612-M612,2))</f>
        <v>0.3</v>
      </c>
      <c r="O612" s="19" t="n">
        <f aca="false">IF(M612="","",N612/M612)</f>
        <v>0.00146548776317718</v>
      </c>
      <c r="P612" s="14" t="str">
        <f aca="false">IF(M612="","SEM TARIFA NO CONTRATO",IF(N612&gt;Resumo!$B$4,"ACIMA DA TABELA",IF(N612&lt;-Resumo!$B$4,"ABAIXO DA TABELA","OK")))</f>
        <v>OK</v>
      </c>
    </row>
    <row r="613" customFormat="false" ht="15" hidden="false" customHeight="false" outlineLevel="0" collapsed="false">
      <c r="A613" s="14" t="s">
        <v>1275</v>
      </c>
      <c r="B613" s="14" t="s">
        <v>1276</v>
      </c>
      <c r="C613" s="14" t="s">
        <v>21</v>
      </c>
      <c r="D613" s="15" t="n">
        <v>46290</v>
      </c>
      <c r="E613" s="14" t="n">
        <f aca="false">MONTH(D613)</f>
        <v>9</v>
      </c>
      <c r="F613" s="14" t="s">
        <v>49</v>
      </c>
      <c r="G613" s="14" t="s">
        <v>50</v>
      </c>
      <c r="H613" s="14" t="s">
        <v>51</v>
      </c>
      <c r="I613" s="16" t="n">
        <v>335.8</v>
      </c>
      <c r="J613" s="17" t="n">
        <v>5.1282</v>
      </c>
      <c r="K613" s="18" t="n">
        <v>436.59</v>
      </c>
      <c r="L613" s="18" t="n">
        <v>1722.19</v>
      </c>
      <c r="M613" s="18" t="n">
        <f aca="false">IF(J613="","",ROUND(MAX(I613*J613,K613),2))</f>
        <v>1722.05</v>
      </c>
      <c r="N613" s="18" t="n">
        <f aca="false">IF(M613="","",ROUND(L613-M613,2))</f>
        <v>0.14</v>
      </c>
      <c r="O613" s="19" t="n">
        <f aca="false">IF(M613="","",N613/M613)</f>
        <v>8.12984524258878E-005</v>
      </c>
      <c r="P613" s="14" t="str">
        <f aca="false">IF(M613="","SEM TARIFA NO CONTRATO",IF(N613&gt;Resumo!$B$4,"ACIMA DA TABELA",IF(N613&lt;-Resumo!$B$4,"ABAIXO DA TABELA","OK")))</f>
        <v>OK</v>
      </c>
    </row>
    <row r="614" customFormat="false" ht="15" hidden="false" customHeight="false" outlineLevel="0" collapsed="false">
      <c r="A614" s="14" t="s">
        <v>1277</v>
      </c>
      <c r="B614" s="14" t="s">
        <v>1278</v>
      </c>
      <c r="C614" s="14" t="s">
        <v>25</v>
      </c>
      <c r="D614" s="15" t="n">
        <v>46291</v>
      </c>
      <c r="E614" s="14" t="n">
        <f aca="false">MONTH(D614)</f>
        <v>9</v>
      </c>
      <c r="F614" s="14" t="s">
        <v>73</v>
      </c>
      <c r="G614" s="14" t="s">
        <v>50</v>
      </c>
      <c r="H614" s="14" t="s">
        <v>74</v>
      </c>
      <c r="I614" s="16" t="n">
        <v>105.7</v>
      </c>
      <c r="J614" s="17" t="n">
        <v>1.1411</v>
      </c>
      <c r="K614" s="18" t="n">
        <v>130.47</v>
      </c>
      <c r="L614" s="18" t="n">
        <v>130.19</v>
      </c>
      <c r="M614" s="18" t="n">
        <f aca="false">IF(J614="","",ROUND(MAX(I614*J614,K614),2))</f>
        <v>130.47</v>
      </c>
      <c r="N614" s="18" t="n">
        <f aca="false">IF(M614="","",ROUND(L614-M614,2))</f>
        <v>-0.28</v>
      </c>
      <c r="O614" s="19" t="n">
        <f aca="false">IF(M614="","",N614/M614)</f>
        <v>-0.00214608722311643</v>
      </c>
      <c r="P614" s="14" t="str">
        <f aca="false">IF(M614="","SEM TARIFA NO CONTRATO",IF(N614&gt;Resumo!$B$4,"ACIMA DA TABELA",IF(N614&lt;-Resumo!$B$4,"ABAIXO DA TABELA","OK")))</f>
        <v>OK</v>
      </c>
    </row>
    <row r="615" customFormat="false" ht="15" hidden="false" customHeight="false" outlineLevel="0" collapsed="false">
      <c r="A615" s="14" t="s">
        <v>1279</v>
      </c>
      <c r="B615" s="14" t="s">
        <v>1280</v>
      </c>
      <c r="C615" s="14" t="s">
        <v>22</v>
      </c>
      <c r="D615" s="15" t="n">
        <v>46292</v>
      </c>
      <c r="E615" s="14" t="n">
        <f aca="false">MONTH(D615)</f>
        <v>9</v>
      </c>
      <c r="F615" s="14" t="s">
        <v>104</v>
      </c>
      <c r="G615" s="14" t="s">
        <v>45</v>
      </c>
      <c r="H615" s="14" t="s">
        <v>68</v>
      </c>
      <c r="I615" s="16" t="n">
        <v>499.4</v>
      </c>
      <c r="J615" s="17" t="n">
        <v>1.4553</v>
      </c>
      <c r="K615" s="18" t="n">
        <v>158.76</v>
      </c>
      <c r="L615" s="18" t="n">
        <v>726.62</v>
      </c>
      <c r="M615" s="18" t="n">
        <f aca="false">IF(J615="","",ROUND(MAX(I615*J615,K615),2))</f>
        <v>726.78</v>
      </c>
      <c r="N615" s="18" t="n">
        <f aca="false">IF(M615="","",ROUND(L615-M615,2))</f>
        <v>-0.16</v>
      </c>
      <c r="O615" s="19" t="n">
        <f aca="false">IF(M615="","",N615/M615)</f>
        <v>-0.000220149151049836</v>
      </c>
      <c r="P615" s="14" t="str">
        <f aca="false">IF(M615="","SEM TARIFA NO CONTRATO",IF(N615&gt;Resumo!$B$4,"ACIMA DA TABELA",IF(N615&lt;-Resumo!$B$4,"ABAIXO DA TABELA","OK")))</f>
        <v>OK</v>
      </c>
    </row>
    <row r="616" customFormat="false" ht="15" hidden="false" customHeight="false" outlineLevel="0" collapsed="false">
      <c r="A616" s="14" t="s">
        <v>1281</v>
      </c>
      <c r="B616" s="14" t="s">
        <v>1282</v>
      </c>
      <c r="C616" s="14" t="s">
        <v>21</v>
      </c>
      <c r="D616" s="15" t="n">
        <v>46292</v>
      </c>
      <c r="E616" s="14" t="n">
        <f aca="false">MONTH(D616)</f>
        <v>9</v>
      </c>
      <c r="F616" s="14" t="s">
        <v>61</v>
      </c>
      <c r="G616" s="14" t="s">
        <v>50</v>
      </c>
      <c r="H616" s="14" t="s">
        <v>62</v>
      </c>
      <c r="I616" s="16" t="n">
        <v>1194.8</v>
      </c>
      <c r="J616" s="17" t="n">
        <v>1.155</v>
      </c>
      <c r="K616" s="18" t="n">
        <v>138.6</v>
      </c>
      <c r="L616" s="18" t="n">
        <v>1380.03</v>
      </c>
      <c r="M616" s="18" t="n">
        <f aca="false">IF(J616="","",ROUND(MAX(I616*J616,K616),2))</f>
        <v>1379.99</v>
      </c>
      <c r="N616" s="18" t="n">
        <f aca="false">IF(M616="","",ROUND(L616-M616,2))</f>
        <v>0.04</v>
      </c>
      <c r="O616" s="19" t="n">
        <f aca="false">IF(M616="","",N616/M616)</f>
        <v>2.89857172878064E-005</v>
      </c>
      <c r="P616" s="14" t="str">
        <f aca="false">IF(M616="","SEM TARIFA NO CONTRATO",IF(N616&gt;Resumo!$B$4,"ACIMA DA TABELA",IF(N616&lt;-Resumo!$B$4,"ABAIXO DA TABELA","OK")))</f>
        <v>OK</v>
      </c>
    </row>
    <row r="617" customFormat="false" ht="15" hidden="false" customHeight="false" outlineLevel="0" collapsed="false">
      <c r="A617" s="14" t="s">
        <v>1283</v>
      </c>
      <c r="B617" s="14" t="s">
        <v>1284</v>
      </c>
      <c r="C617" s="14" t="s">
        <v>21</v>
      </c>
      <c r="D617" s="15" t="n">
        <v>46293</v>
      </c>
      <c r="E617" s="14" t="n">
        <f aca="false">MONTH(D617)</f>
        <v>9</v>
      </c>
      <c r="F617" s="14" t="s">
        <v>88</v>
      </c>
      <c r="G617" s="14" t="s">
        <v>50</v>
      </c>
      <c r="H617" s="14" t="s">
        <v>89</v>
      </c>
      <c r="I617" s="16" t="n">
        <v>290.2</v>
      </c>
      <c r="J617" s="17" t="n">
        <v>1.9496</v>
      </c>
      <c r="K617" s="18" t="n">
        <v>198.2</v>
      </c>
      <c r="L617" s="18" t="n">
        <v>609.99</v>
      </c>
      <c r="M617" s="18" t="n">
        <f aca="false">IF(J617="","",ROUND(MAX(I617*J617,K617),2))</f>
        <v>565.77</v>
      </c>
      <c r="N617" s="18" t="n">
        <f aca="false">IF(M617="","",ROUND(L617-M617,2))</f>
        <v>44.22</v>
      </c>
      <c r="O617" s="19" t="n">
        <f aca="false">IF(M617="","",N617/M617)</f>
        <v>0.078158969192428</v>
      </c>
      <c r="P617" s="14" t="str">
        <f aca="false">IF(M617="","SEM TARIFA NO CONTRATO",IF(N617&gt;Resumo!$B$4,"ACIMA DA TABELA",IF(N617&lt;-Resumo!$B$4,"ABAIXO DA TABELA","OK")))</f>
        <v>ACIMA DA TABELA</v>
      </c>
    </row>
    <row r="618" customFormat="false" ht="15" hidden="false" customHeight="false" outlineLevel="0" collapsed="false">
      <c r="A618" s="14" t="s">
        <v>1285</v>
      </c>
      <c r="B618" s="14" t="s">
        <v>1286</v>
      </c>
      <c r="C618" s="14" t="s">
        <v>21</v>
      </c>
      <c r="D618" s="15" t="n">
        <v>46294</v>
      </c>
      <c r="E618" s="14" t="n">
        <f aca="false">MONTH(D618)</f>
        <v>9</v>
      </c>
      <c r="F618" s="14" t="s">
        <v>67</v>
      </c>
      <c r="G618" s="14" t="s">
        <v>50</v>
      </c>
      <c r="H618" s="14" t="s">
        <v>68</v>
      </c>
      <c r="I618" s="16" t="n">
        <v>494.6</v>
      </c>
      <c r="J618" s="17" t="n">
        <v>2.2638</v>
      </c>
      <c r="K618" s="18" t="n">
        <v>221.76</v>
      </c>
      <c r="L618" s="18" t="n">
        <v>1119.41</v>
      </c>
      <c r="M618" s="18" t="n">
        <f aca="false">IF(J618="","",ROUND(MAX(I618*J618,K618),2))</f>
        <v>1119.68</v>
      </c>
      <c r="N618" s="18" t="n">
        <f aca="false">IF(M618="","",ROUND(L618-M618,2))</f>
        <v>-0.27</v>
      </c>
      <c r="O618" s="19" t="n">
        <f aca="false">IF(M618="","",N618/M618)</f>
        <v>-0.000241140325807374</v>
      </c>
      <c r="P618" s="14" t="str">
        <f aca="false">IF(M618="","SEM TARIFA NO CONTRATO",IF(N618&gt;Resumo!$B$4,"ACIMA DA TABELA",IF(N618&lt;-Resumo!$B$4,"ABAIXO DA TABELA","OK")))</f>
        <v>OK</v>
      </c>
    </row>
    <row r="619" customFormat="false" ht="15" hidden="false" customHeight="false" outlineLevel="0" collapsed="false">
      <c r="A619" s="14" t="s">
        <v>1287</v>
      </c>
      <c r="B619" s="14" t="s">
        <v>1288</v>
      </c>
      <c r="C619" s="14" t="s">
        <v>25</v>
      </c>
      <c r="D619" s="15" t="n">
        <v>46294</v>
      </c>
      <c r="E619" s="14" t="n">
        <f aca="false">MONTH(D619)</f>
        <v>9</v>
      </c>
      <c r="F619" s="14" t="s">
        <v>88</v>
      </c>
      <c r="G619" s="14" t="s">
        <v>50</v>
      </c>
      <c r="H619" s="14" t="s">
        <v>89</v>
      </c>
      <c r="I619" s="16" t="n">
        <v>259.7</v>
      </c>
      <c r="J619" s="17" t="n">
        <v>1.6838</v>
      </c>
      <c r="K619" s="18" t="n">
        <v>171.17</v>
      </c>
      <c r="L619" s="18" t="n">
        <v>437.23</v>
      </c>
      <c r="M619" s="18" t="n">
        <f aca="false">IF(J619="","",ROUND(MAX(I619*J619,K619),2))</f>
        <v>437.28</v>
      </c>
      <c r="N619" s="18" t="n">
        <f aca="false">IF(M619="","",ROUND(L619-M619,2))</f>
        <v>-0.05</v>
      </c>
      <c r="O619" s="19" t="n">
        <f aca="false">IF(M619="","",N619/M619)</f>
        <v>-0.000114343212586901</v>
      </c>
      <c r="P619" s="14" t="str">
        <f aca="false">IF(M619="","SEM TARIFA NO CONTRATO",IF(N619&gt;Resumo!$B$4,"ACIMA DA TABELA",IF(N619&lt;-Resumo!$B$4,"ABAIXO DA TABELA","OK")))</f>
        <v>OK</v>
      </c>
    </row>
    <row r="620" customFormat="false" ht="15" hidden="false" customHeight="false" outlineLevel="0" collapsed="false">
      <c r="A620" s="14" t="s">
        <v>1289</v>
      </c>
      <c r="B620" s="14" t="s">
        <v>1290</v>
      </c>
      <c r="C620" s="14" t="s">
        <v>24</v>
      </c>
      <c r="D620" s="15" t="n">
        <v>46294</v>
      </c>
      <c r="E620" s="14" t="n">
        <f aca="false">MONTH(D620)</f>
        <v>9</v>
      </c>
      <c r="F620" s="14" t="s">
        <v>67</v>
      </c>
      <c r="G620" s="14" t="s">
        <v>50</v>
      </c>
      <c r="H620" s="14" t="s">
        <v>68</v>
      </c>
      <c r="I620" s="16" t="n">
        <v>451</v>
      </c>
      <c r="J620" s="17" t="n">
        <v>2.058</v>
      </c>
      <c r="K620" s="18" t="n">
        <v>201.6</v>
      </c>
      <c r="L620" s="18" t="n">
        <v>928.36</v>
      </c>
      <c r="M620" s="18" t="n">
        <f aca="false">IF(J620="","",ROUND(MAX(I620*J620,K620),2))</f>
        <v>928.16</v>
      </c>
      <c r="N620" s="18" t="n">
        <f aca="false">IF(M620="","",ROUND(L620-M620,2))</f>
        <v>0.2</v>
      </c>
      <c r="O620" s="19" t="n">
        <f aca="false">IF(M620="","",N620/M620)</f>
        <v>0.000215480089639717</v>
      </c>
      <c r="P620" s="14" t="str">
        <f aca="false">IF(M620="","SEM TARIFA NO CONTRATO",IF(N620&gt;Resumo!$B$4,"ACIMA DA TABELA",IF(N620&lt;-Resumo!$B$4,"ABAIXO DA TABELA","OK")))</f>
        <v>OK</v>
      </c>
    </row>
    <row r="621" customFormat="false" ht="15" hidden="false" customHeight="false" outlineLevel="0" collapsed="false">
      <c r="A621" s="14" t="s">
        <v>1291</v>
      </c>
      <c r="B621" s="14" t="s">
        <v>1292</v>
      </c>
      <c r="C621" s="14" t="s">
        <v>24</v>
      </c>
      <c r="D621" s="15" t="n">
        <v>46295</v>
      </c>
      <c r="E621" s="14" t="n">
        <f aca="false">MONTH(D621)</f>
        <v>9</v>
      </c>
      <c r="F621" s="14" t="s">
        <v>79</v>
      </c>
      <c r="G621" s="14" t="s">
        <v>50</v>
      </c>
      <c r="H621" s="14" t="s">
        <v>46</v>
      </c>
      <c r="I621" s="16" t="n">
        <v>47.5</v>
      </c>
      <c r="J621" s="17" t="n">
        <v>0.378</v>
      </c>
      <c r="K621" s="18" t="n">
        <v>75.6</v>
      </c>
      <c r="L621" s="18" t="n">
        <v>75.78</v>
      </c>
      <c r="M621" s="18" t="n">
        <f aca="false">IF(J621="","",ROUND(MAX(I621*J621,K621),2))</f>
        <v>75.6</v>
      </c>
      <c r="N621" s="18" t="n">
        <f aca="false">IF(M621="","",ROUND(L621-M621,2))</f>
        <v>0.18</v>
      </c>
      <c r="O621" s="19" t="n">
        <f aca="false">IF(M621="","",N621/M621)</f>
        <v>0.00238095238095238</v>
      </c>
      <c r="P621" s="14" t="str">
        <f aca="false">IF(M621="","SEM TARIFA NO CONTRATO",IF(N621&gt;Resumo!$B$4,"ACIMA DA TABELA",IF(N621&lt;-Resumo!$B$4,"ABAIXO DA TABELA","OK")))</f>
        <v>OK</v>
      </c>
    </row>
  </sheetData>
  <autoFilter ref="A1:P621"/>
  <conditionalFormatting sqref="A2:P621">
    <cfRule type="expression" priority="2" aboveAverage="0" equalAverage="0" bottom="0" percent="0" rank="0" text="" dxfId="5">
      <formula>$P2="ACIMA DA TABELA"</formula>
    </cfRule>
    <cfRule type="expression" priority="3" aboveAverage="0" equalAverage="0" bottom="0" percent="0" rank="0" text="" dxfId="6">
      <formula>$P2="SEM TARIFA NO CONTRATO"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4" min="3" style="1" width="24"/>
    <col collapsed="false" customWidth="true" hidden="false" outlineLevel="0" max="6" min="5" style="1" width="18"/>
  </cols>
  <sheetData>
    <row r="1" customFormat="false" ht="15" hidden="false" customHeight="false" outlineLevel="0" collapsed="false">
      <c r="A1" s="6" t="s">
        <v>29</v>
      </c>
      <c r="B1" s="6" t="s">
        <v>1293</v>
      </c>
      <c r="C1" s="6" t="s">
        <v>17</v>
      </c>
      <c r="D1" s="6" t="s">
        <v>16</v>
      </c>
      <c r="E1" s="6" t="s">
        <v>1294</v>
      </c>
      <c r="F1" s="6" t="s">
        <v>1295</v>
      </c>
    </row>
    <row r="2" customFormat="false" ht="15" hidden="false" customHeight="false" outlineLevel="0" collapsed="false">
      <c r="A2" s="14" t="s">
        <v>1056</v>
      </c>
      <c r="B2" s="14" t="n">
        <v>2</v>
      </c>
      <c r="C2" s="14" t="s">
        <v>1296</v>
      </c>
      <c r="D2" s="14" t="s">
        <v>21</v>
      </c>
      <c r="E2" s="18" t="n">
        <v>6618.52</v>
      </c>
      <c r="F2" s="18" t="n">
        <v>3309.26</v>
      </c>
    </row>
    <row r="3" customFormat="false" ht="15" hidden="false" customHeight="false" outlineLevel="0" collapsed="false">
      <c r="A3" s="14" t="s">
        <v>818</v>
      </c>
      <c r="B3" s="14" t="n">
        <v>2</v>
      </c>
      <c r="C3" s="14" t="s">
        <v>1297</v>
      </c>
      <c r="D3" s="14" t="s">
        <v>22</v>
      </c>
      <c r="E3" s="18" t="n">
        <v>2630.38</v>
      </c>
      <c r="F3" s="18" t="n">
        <v>1315.19</v>
      </c>
    </row>
    <row r="4" customFormat="false" ht="15" hidden="false" customHeight="false" outlineLevel="0" collapsed="false">
      <c r="A4" s="14" t="s">
        <v>1079</v>
      </c>
      <c r="B4" s="14" t="n">
        <v>2</v>
      </c>
      <c r="C4" s="14" t="s">
        <v>1298</v>
      </c>
      <c r="D4" s="14" t="s">
        <v>25</v>
      </c>
      <c r="E4" s="18" t="n">
        <v>936.24</v>
      </c>
      <c r="F4" s="18" t="n">
        <v>468.12</v>
      </c>
    </row>
    <row r="5" customFormat="false" ht="15" hidden="false" customHeight="false" outlineLevel="0" collapsed="false">
      <c r="A5" s="14" t="s">
        <v>308</v>
      </c>
      <c r="B5" s="14" t="n">
        <v>2</v>
      </c>
      <c r="C5" s="14" t="s">
        <v>1299</v>
      </c>
      <c r="D5" s="14" t="s">
        <v>24</v>
      </c>
      <c r="E5" s="18" t="n">
        <v>806.04</v>
      </c>
      <c r="F5" s="18" t="n">
        <v>403.02</v>
      </c>
    </row>
    <row r="6" customFormat="false" ht="15" hidden="false" customHeight="false" outlineLevel="0" collapsed="false">
      <c r="A6" s="14" t="s">
        <v>263</v>
      </c>
      <c r="B6" s="14" t="n">
        <v>2</v>
      </c>
      <c r="C6" s="14" t="s">
        <v>1300</v>
      </c>
      <c r="D6" s="14" t="s">
        <v>24</v>
      </c>
      <c r="E6" s="18" t="n">
        <v>698.44</v>
      </c>
      <c r="F6" s="18" t="n">
        <v>349.22</v>
      </c>
    </row>
    <row r="7" customFormat="false" ht="15" hidden="false" customHeight="false" outlineLevel="0" collapsed="false">
      <c r="A7" s="14" t="s">
        <v>807</v>
      </c>
      <c r="B7" s="14" t="n">
        <v>2</v>
      </c>
      <c r="C7" s="14" t="s">
        <v>1301</v>
      </c>
      <c r="D7" s="14" t="s">
        <v>21</v>
      </c>
      <c r="E7" s="18" t="n">
        <v>649.56</v>
      </c>
      <c r="F7" s="18" t="n">
        <v>324.78</v>
      </c>
    </row>
    <row r="8" customFormat="false" ht="15" hidden="false" customHeight="false" outlineLevel="0" collapsed="false">
      <c r="A8" s="14" t="s">
        <v>101</v>
      </c>
      <c r="B8" s="14" t="n">
        <v>2</v>
      </c>
      <c r="C8" s="14" t="s">
        <v>1302</v>
      </c>
      <c r="D8" s="14" t="s">
        <v>21</v>
      </c>
      <c r="E8" s="18" t="n">
        <v>406.88</v>
      </c>
      <c r="F8" s="18" t="n">
        <v>203.44</v>
      </c>
    </row>
    <row r="9" customFormat="false" ht="15" hidden="false" customHeight="false" outlineLevel="0" collapsed="false">
      <c r="A9" s="14" t="s">
        <v>793</v>
      </c>
      <c r="B9" s="14" t="n">
        <v>2</v>
      </c>
      <c r="C9" s="14" t="s">
        <v>1303</v>
      </c>
      <c r="D9" s="14" t="s">
        <v>24</v>
      </c>
      <c r="E9" s="18" t="n">
        <v>186.26</v>
      </c>
      <c r="F9" s="18" t="n">
        <v>93.13</v>
      </c>
    </row>
    <row r="11" customFormat="false" ht="15" hidden="false" customHeight="false" outlineLevel="0" collapsed="false">
      <c r="A11" s="3" t="s">
        <v>1304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2026-10-14T00:52:13Z</dcterms:created>
  <dc:creator>openpyxl</dc:creator>
  <dc:description/>
  <dc:language>en-US</dc:language>
  <cp:lastModifiedBy/>
  <dcterms:modified xsi:type="dcterms:W3CDTF">2026-10-14T00:52:13Z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